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548FDB96D5563F/ドキュメント/"/>
    </mc:Choice>
  </mc:AlternateContent>
  <xr:revisionPtr revIDLastSave="1841" documentId="8_{47DAA58A-E510-4BD9-B0E3-AF65E03CF6DF}" xr6:coauthVersionLast="47" xr6:coauthVersionMax="47" xr10:uidLastSave="{B1EDA810-DFEE-48A0-8788-1FB4E2FE33C3}"/>
  <bookViews>
    <workbookView xWindow="-108" yWindow="-108" windowWidth="23256" windowHeight="13896" xr2:uid="{132095D7-D9A3-4C93-9194-9DA48DA86111}"/>
  </bookViews>
  <sheets>
    <sheet name="Transactions " sheetId="1" r:id="rId1"/>
    <sheet name="Journal" sheetId="2" r:id="rId2"/>
    <sheet name="Ledger" sheetId="3" r:id="rId3"/>
    <sheet name="Trial Balance " sheetId="7" r:id="rId4"/>
    <sheet name="Trading account" sheetId="8" r:id="rId5"/>
    <sheet name="Profit and Loss Account" sheetId="9" r:id="rId6"/>
    <sheet name="Balance Sheet" sheetId="10" r:id="rId7"/>
    <sheet name="Ratio Analysis 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1" l="1"/>
  <c r="C33" i="11" s="1"/>
  <c r="C29" i="11"/>
  <c r="C25" i="11"/>
  <c r="C21" i="11"/>
  <c r="C17" i="11" l="1"/>
  <c r="C13" i="11"/>
  <c r="C9" i="11"/>
  <c r="C5" i="11"/>
  <c r="F21" i="10" l="1"/>
  <c r="C21" i="10"/>
  <c r="F12" i="10"/>
  <c r="F10" i="10"/>
  <c r="F8" i="10"/>
  <c r="F6" i="10"/>
  <c r="C7" i="10"/>
  <c r="B6" i="10"/>
  <c r="C21" i="9"/>
  <c r="F21" i="9"/>
  <c r="C15" i="9"/>
  <c r="C10" i="9"/>
  <c r="C5" i="9"/>
  <c r="C11" i="8"/>
  <c r="F11" i="8"/>
  <c r="F5" i="8"/>
  <c r="C6" i="8"/>
  <c r="D36" i="7"/>
  <c r="C36" i="7"/>
  <c r="H108" i="3"/>
  <c r="D108" i="3" s="1"/>
  <c r="D51" i="3"/>
  <c r="H51" i="3" s="1"/>
  <c r="H31" i="3"/>
  <c r="D31" i="3" s="1"/>
  <c r="H68" i="3"/>
  <c r="D68" i="3" s="1"/>
  <c r="H13" i="3"/>
  <c r="D13" i="3" s="1"/>
  <c r="D22" i="3"/>
  <c r="H22" i="3" s="1"/>
</calcChain>
</file>

<file path=xl/sharedStrings.xml><?xml version="1.0" encoding="utf-8"?>
<sst xmlns="http://schemas.openxmlformats.org/spreadsheetml/2006/main" count="1123" uniqueCount="372">
  <si>
    <t>The following are the balances extracted from the books of M/s Greenfield Enterprises as on 1 April 2026 and the transactions entered during the month of April 2026.</t>
  </si>
  <si>
    <t>From the following information, prepare:</t>
  </si>
  <si>
    <t>1. Journal Entries</t>
  </si>
  <si>
    <t>2. Ledger Accounts</t>
  </si>
  <si>
    <t>3. Trial Balance</t>
  </si>
  <si>
    <t>4. Trading Account</t>
  </si>
  <si>
    <t>5. Profit &amp; Loss Account</t>
  </si>
  <si>
    <t>6. Balance Sheet as on 30th April 2026</t>
  </si>
  <si>
    <t>Also calculate the following ratios and interpret the results:</t>
  </si>
  <si>
    <t>Current Ratio</t>
  </si>
  <si>
    <t>Quick Ratio</t>
  </si>
  <si>
    <t>Debt-to-Equity Ratio</t>
  </si>
  <si>
    <t>Debt-to-Asset Ratio</t>
  </si>
  <si>
    <t>Asset Turnover Ratio</t>
  </si>
  <si>
    <t>Inventory Turnover Ratio</t>
  </si>
  <si>
    <t>Working Capital Turnover Ratio</t>
  </si>
  <si>
    <t>Cash Ratio</t>
  </si>
  <si>
    <t>Opening Balances as on 1st April 2026</t>
  </si>
  <si>
    <t>Particulars</t>
  </si>
  <si>
    <t>Amount (₹)</t>
  </si>
  <si>
    <t>Cash in Hand</t>
  </si>
  <si>
    <t>Cash at Bank</t>
  </si>
  <si>
    <t>Opening Stock</t>
  </si>
  <si>
    <t>Furniture</t>
  </si>
  <si>
    <t>Machinery</t>
  </si>
  <si>
    <t>Building</t>
  </si>
  <si>
    <t>Debtors – Arjun Traders</t>
  </si>
  <si>
    <t>Debtors – Meera Stores</t>
  </si>
  <si>
    <t>Creditors – Royal Suppliers</t>
  </si>
  <si>
    <t>Creditors – Metro Distributors</t>
  </si>
  <si>
    <t>Bank Loan</t>
  </si>
  <si>
    <t>Transactions for April 2026</t>
  </si>
  <si>
    <t>Date</t>
  </si>
  <si>
    <t>Transactions</t>
  </si>
  <si>
    <t>Purchased goods from Royal Suppliers on credit ₹1,40,000</t>
  </si>
  <si>
    <t>Purchased goods for cash ₹50,000</t>
  </si>
  <si>
    <t>Sold goods to Arjun Traders on credit ₹2,10,000</t>
  </si>
  <si>
    <t>Sold goods for cash ₹90,000</t>
  </si>
  <si>
    <t>Paid carriage inward ₹6,000</t>
  </si>
  <si>
    <t>Paid wages ₹18,000</t>
  </si>
  <si>
    <t>Returned goods to Royal Suppliers worth ₹15,000</t>
  </si>
  <si>
    <t>Arjun Traders returned goods worth ₹12,000</t>
  </si>
  <si>
    <t>Purchased office computer by cheque ₹60,000</t>
  </si>
  <si>
    <t>Paid salary ₹28,000</t>
  </si>
  <si>
    <t>Received ₹2,50,000 from Arjun Traders and allowed discount ₹8,000</t>
  </si>
  <si>
    <t>Paid Royal Suppliers ₹1,80,000 by cheque and received discount ₹10,000</t>
  </si>
  <si>
    <t>Paid office rent ₹22,000</t>
  </si>
  <si>
    <t>Purchased goods on credit from Metro Distributors ₹95,000</t>
  </si>
  <si>
    <t>Sold goods on credit to Meera Stores ₹1,40,000</t>
  </si>
  <si>
    <t>Received ₹1,25,000 from Meera Stores through bank</t>
  </si>
  <si>
    <t>Paid electricity charges ₹7,000</t>
  </si>
  <si>
    <t>Received commission ₹11,000 in cash</t>
  </si>
  <si>
    <t>Withdrew cash from bank for office use ₹25,000</t>
  </si>
  <si>
    <t>Drawings by proprietor in cash ₹15,000</t>
  </si>
  <si>
    <t>Paid insurance premium by cheque ₹8,000</t>
  </si>
  <si>
    <t>Paid carriage outward ₹5,000</t>
  </si>
  <si>
    <t>Received interest from bank ₹4,000</t>
  </si>
  <si>
    <t>Purchased goods for cash ₹35,000</t>
  </si>
  <si>
    <t>Paid advertisement expenses ₹10,000</t>
  </si>
  <si>
    <t>Paid miscellaneous expenses ₹3,500</t>
  </si>
  <si>
    <t>Purchased furniture for cash ₹30,000</t>
  </si>
  <si>
    <t>Paid bank loan interest ₹7,000</t>
  </si>
  <si>
    <t>Deposited additional cash into bank ₹50,000</t>
  </si>
  <si>
    <t>Additional Information</t>
  </si>
  <si>
    <t>1. Closing stock on 30th April 2026 was valued at ₹1,40,000.</t>
  </si>
  <si>
    <t>2. Depreciate machinery @ 10% p.a.</t>
  </si>
  <si>
    <t>3. Depreciate furniture @ 5% p.a.</t>
  </si>
  <si>
    <t>4. Depreciate building @ 5% p.a.</t>
  </si>
  <si>
    <t>5. Depreciate computer @ 10% p.a.</t>
  </si>
  <si>
    <t>6. Outstanding salary ₹4,000.</t>
  </si>
  <si>
    <t>7. Prepaid insurance ₹2,000.</t>
  </si>
  <si>
    <t>8. Interest on bank loan accrued but not paid ₹3,000.</t>
  </si>
  <si>
    <t>L.F</t>
  </si>
  <si>
    <t>Debit ₹</t>
  </si>
  <si>
    <t>Credit ₹</t>
  </si>
  <si>
    <t>02.04.2026</t>
  </si>
  <si>
    <t>Purchase a/c</t>
  </si>
  <si>
    <t>To Royal Suppliers a/c</t>
  </si>
  <si>
    <t>(Being Goods Purchased )</t>
  </si>
  <si>
    <t>Dr</t>
  </si>
  <si>
    <t>03.04.2026</t>
  </si>
  <si>
    <t>To Cash a/c</t>
  </si>
  <si>
    <t>04.04.2026</t>
  </si>
  <si>
    <t>Arjun Traders a/c</t>
  </si>
  <si>
    <t>To Sales a/c</t>
  </si>
  <si>
    <t>(Being Goods Sold )</t>
  </si>
  <si>
    <t xml:space="preserve">Dr </t>
  </si>
  <si>
    <t>05.04.2026</t>
  </si>
  <si>
    <t xml:space="preserve">Cash a/c </t>
  </si>
  <si>
    <t>(Being goods sold )</t>
  </si>
  <si>
    <t>06.04.2026</t>
  </si>
  <si>
    <t>Carriage Inward a/c</t>
  </si>
  <si>
    <t>(Being Cash Paid )</t>
  </si>
  <si>
    <t>07.04.2026</t>
  </si>
  <si>
    <t>Wages a/c</t>
  </si>
  <si>
    <t>08.04.2026</t>
  </si>
  <si>
    <t>Royal Suppliers a/c</t>
  </si>
  <si>
    <t xml:space="preserve">To Purchase Return a/c </t>
  </si>
  <si>
    <t>(Being Goods Returned)</t>
  </si>
  <si>
    <t>09.04.2026</t>
  </si>
  <si>
    <t>Sales Return a/c</t>
  </si>
  <si>
    <t>To Arjun Traders a/c</t>
  </si>
  <si>
    <t>10.04.2026</t>
  </si>
  <si>
    <t>Computer a/c</t>
  </si>
  <si>
    <t>To Bank a/c</t>
  </si>
  <si>
    <t>(Being Computer Purchased)</t>
  </si>
  <si>
    <t>11.04.2026</t>
  </si>
  <si>
    <t>Salary a/c</t>
  </si>
  <si>
    <t>12.04.2026</t>
  </si>
  <si>
    <t>Discount allowed a/c</t>
  </si>
  <si>
    <t>(Being Discount allowed )</t>
  </si>
  <si>
    <t>13.04.2026</t>
  </si>
  <si>
    <t>By Bank a/c</t>
  </si>
  <si>
    <t>(Being Paid Royal Suppliers )</t>
  </si>
  <si>
    <t>14.04.2026</t>
  </si>
  <si>
    <t>Rent a/c</t>
  </si>
  <si>
    <t>(Being Rent Paid )</t>
  </si>
  <si>
    <t>15.04.2026</t>
  </si>
  <si>
    <t>To Metro Distributors a/c</t>
  </si>
  <si>
    <t>16.04.2026</t>
  </si>
  <si>
    <t>Meera Stores a/c</t>
  </si>
  <si>
    <t>17.04.2026</t>
  </si>
  <si>
    <t>Bank a/c</t>
  </si>
  <si>
    <t>To Meera Stores a/c</t>
  </si>
  <si>
    <t>(Being Cash Received through bank)</t>
  </si>
  <si>
    <t>18.04.2026</t>
  </si>
  <si>
    <t>Electricity Charges a/c</t>
  </si>
  <si>
    <t>(Being Cash paid )</t>
  </si>
  <si>
    <t>19.04.2026</t>
  </si>
  <si>
    <t>To Commission Received a/c</t>
  </si>
  <si>
    <t>(Being Cash Received )</t>
  </si>
  <si>
    <t>20.04.2026</t>
  </si>
  <si>
    <t>(Being Cash withdrawn bank)</t>
  </si>
  <si>
    <t>21.04.2026</t>
  </si>
  <si>
    <t>Drawings a/c</t>
  </si>
  <si>
    <t>(Being Cash withdrawn )</t>
  </si>
  <si>
    <t>22.04.2026</t>
  </si>
  <si>
    <t>Insurance Premium a/c</t>
  </si>
  <si>
    <t>(Being Insurance Premium paid )</t>
  </si>
  <si>
    <t>23.04.2026</t>
  </si>
  <si>
    <t>Carriage Outward a/c</t>
  </si>
  <si>
    <t>24.04.2026</t>
  </si>
  <si>
    <t>To Interest Received a/c</t>
  </si>
  <si>
    <t>(Being Interest received )</t>
  </si>
  <si>
    <t>25.04.2026</t>
  </si>
  <si>
    <t>26.04.2026</t>
  </si>
  <si>
    <t>Advertisement a/c</t>
  </si>
  <si>
    <t>27.04.2026</t>
  </si>
  <si>
    <t>Miscellaneous a/c</t>
  </si>
  <si>
    <t>(Being cash paid)</t>
  </si>
  <si>
    <t>28.04.2026</t>
  </si>
  <si>
    <t xml:space="preserve">Furniture a/c </t>
  </si>
  <si>
    <t>(Being Furniture purchased)</t>
  </si>
  <si>
    <t>29.04.2026</t>
  </si>
  <si>
    <t>Interest on bank loan a/c</t>
  </si>
  <si>
    <t>(Being interest on bank loan)</t>
  </si>
  <si>
    <t>30.04.2026</t>
  </si>
  <si>
    <t>(Being cash deposited into bank)</t>
  </si>
  <si>
    <t>Amount ₹</t>
  </si>
  <si>
    <t>Cr</t>
  </si>
  <si>
    <t>To Discount Received a/c</t>
  </si>
  <si>
    <t>To  Bank a/c</t>
  </si>
  <si>
    <t>31.04.2026</t>
  </si>
  <si>
    <t xml:space="preserve">By balance c/d </t>
  </si>
  <si>
    <t>01.05.2026</t>
  </si>
  <si>
    <t>To Balance b/d</t>
  </si>
  <si>
    <t>By Purchase a/c</t>
  </si>
  <si>
    <t xml:space="preserve"> Cash a/c</t>
  </si>
  <si>
    <t>By Carriage Inward a/c</t>
  </si>
  <si>
    <t>By Wages a/c</t>
  </si>
  <si>
    <t>By Salary a/c</t>
  </si>
  <si>
    <t>By Rent a/c</t>
  </si>
  <si>
    <t>By Electricity Charges a/c</t>
  </si>
  <si>
    <t>By Drawings a/c</t>
  </si>
  <si>
    <t>By Advertisement a/c</t>
  </si>
  <si>
    <t>By Miscellaneous a/c</t>
  </si>
  <si>
    <t xml:space="preserve">By Furniture a/c </t>
  </si>
  <si>
    <t>By Interest on bank loan a/c</t>
  </si>
  <si>
    <t>By Balance c/d</t>
  </si>
  <si>
    <t>1.04.2026</t>
  </si>
  <si>
    <t>Cash a/c</t>
  </si>
  <si>
    <t>Furniture a/c</t>
  </si>
  <si>
    <t>Building a/c</t>
  </si>
  <si>
    <t>Machinery a/c</t>
  </si>
  <si>
    <t>Meera Traders a/c</t>
  </si>
  <si>
    <t>To Capital a/c</t>
  </si>
  <si>
    <t>To Bank Loan a/c</t>
  </si>
  <si>
    <t>(Being Capital introduced)</t>
  </si>
  <si>
    <t>Capital a/c</t>
  </si>
  <si>
    <t>By Cash a/c</t>
  </si>
  <si>
    <t>By Stock a/c</t>
  </si>
  <si>
    <t>By Furniture a/c</t>
  </si>
  <si>
    <t>By Building a/c</t>
  </si>
  <si>
    <t>By Machinery a/c</t>
  </si>
  <si>
    <t>By Arjun Traders a/c</t>
  </si>
  <si>
    <t>By Meera Traders a/c</t>
  </si>
  <si>
    <t>By Sales Return a/c</t>
  </si>
  <si>
    <t xml:space="preserve">By Cash a/c </t>
  </si>
  <si>
    <t>By Discount allowed a/c</t>
  </si>
  <si>
    <t>To Balance c/d</t>
  </si>
  <si>
    <t>By Balance b/d</t>
  </si>
  <si>
    <t>Sales a/c</t>
  </si>
  <si>
    <t>By Meera Stores a/c</t>
  </si>
  <si>
    <t>Purchase Return a/c</t>
  </si>
  <si>
    <t>By Royal Suppliers a/c</t>
  </si>
  <si>
    <t>By Computer a/c</t>
  </si>
  <si>
    <t>By Insurance Premium a/c</t>
  </si>
  <si>
    <t>Discount Allowed a/c</t>
  </si>
  <si>
    <t>Discount Received a/c</t>
  </si>
  <si>
    <t>Metro Distributors a/c</t>
  </si>
  <si>
    <t>Meera Stores  a/c</t>
  </si>
  <si>
    <t>01.04.2026</t>
  </si>
  <si>
    <t>By  Balance c/d</t>
  </si>
  <si>
    <t>To  Balance b/d</t>
  </si>
  <si>
    <t>Electricity Charges  a/c</t>
  </si>
  <si>
    <t>Commission Received a/c</t>
  </si>
  <si>
    <t>Insurance Premium  a/c</t>
  </si>
  <si>
    <t>Carriage Outward  a/c</t>
  </si>
  <si>
    <t>Interest Received  a/c</t>
  </si>
  <si>
    <t>Advertisement  a/c</t>
  </si>
  <si>
    <t>Miscellaneous  a/c</t>
  </si>
  <si>
    <t>Furniture  a/c</t>
  </si>
  <si>
    <t>Interest on Bank Loan  a/c</t>
  </si>
  <si>
    <t>In the books of Ledger Entries of M/s Greenfield Enterprises as on 1st April 2026</t>
  </si>
  <si>
    <t>In the books of Journal Entries of M/s Greenfield Enterprises as on 1st April 2026</t>
  </si>
  <si>
    <t xml:space="preserve">S.No </t>
  </si>
  <si>
    <t xml:space="preserve">Particulars </t>
  </si>
  <si>
    <t>Interest Received a/c</t>
  </si>
  <si>
    <t>Building  a/c</t>
  </si>
  <si>
    <t>Machinery   a/c</t>
  </si>
  <si>
    <t>Bank Loan   a/c</t>
  </si>
  <si>
    <t>Bank Loan a/c</t>
  </si>
  <si>
    <t>By  Balance b/d</t>
  </si>
  <si>
    <t>In the books of Trial Balance of M/s Greenfield Enterprises as on 1st April 2026</t>
  </si>
  <si>
    <t>In the books of Trading Account of M/s Greenfield Enterprises as on 1st April 2026</t>
  </si>
  <si>
    <t xml:space="preserve">To Opening Stock </t>
  </si>
  <si>
    <t>Opening Stock a/c</t>
  </si>
  <si>
    <t>Opening Stock  a/c</t>
  </si>
  <si>
    <t>To Purchase a/c</t>
  </si>
  <si>
    <r>
      <rPr>
        <b/>
        <sz val="11"/>
        <color theme="1"/>
        <rFont val="Aptos Narrow"/>
        <family val="2"/>
        <scheme val="minor"/>
      </rPr>
      <t xml:space="preserve">Less : </t>
    </r>
    <r>
      <rPr>
        <sz val="11"/>
        <color theme="1"/>
        <rFont val="Aptos Narrow"/>
        <family val="2"/>
        <scheme val="minor"/>
      </rPr>
      <t>Purchase Return a/c</t>
    </r>
  </si>
  <si>
    <t>To Direct Expenses :</t>
  </si>
  <si>
    <t>To Gross Profit c/d</t>
  </si>
  <si>
    <t>By Sales a/c</t>
  </si>
  <si>
    <t xml:space="preserve">By Closing Stock </t>
  </si>
  <si>
    <r>
      <rPr>
        <b/>
        <sz val="11"/>
        <color theme="1"/>
        <rFont val="Aptos Narrow"/>
        <family val="2"/>
        <scheme val="minor"/>
      </rPr>
      <t>Less :</t>
    </r>
    <r>
      <rPr>
        <sz val="11"/>
        <color theme="1"/>
        <rFont val="Aptos Narrow"/>
        <family val="2"/>
        <scheme val="minor"/>
      </rPr>
      <t xml:space="preserve"> Sales Return a/c</t>
    </r>
  </si>
  <si>
    <t>In the books of  Profit and Loss Account of M/s Greenfield Enterprises as on 1st April 2026</t>
  </si>
  <si>
    <t>To Salary a/c</t>
  </si>
  <si>
    <r>
      <t>Add :</t>
    </r>
    <r>
      <rPr>
        <sz val="11"/>
        <color theme="1"/>
        <rFont val="Aptos Narrow"/>
        <family val="2"/>
        <scheme val="minor"/>
      </rPr>
      <t xml:space="preserve"> Outstanding Salary </t>
    </r>
  </si>
  <si>
    <t>To Discount Allowed a/c</t>
  </si>
  <si>
    <t>To Rent a/c</t>
  </si>
  <si>
    <t>To Electricity Charges a/c</t>
  </si>
  <si>
    <t>To Insurance Premium a/c</t>
  </si>
  <si>
    <r>
      <t xml:space="preserve">Less : </t>
    </r>
    <r>
      <rPr>
        <sz val="11"/>
        <color theme="1"/>
        <rFont val="Aptos Narrow"/>
        <family val="2"/>
        <scheme val="minor"/>
      </rPr>
      <t xml:space="preserve"> Prepaid Insurance </t>
    </r>
  </si>
  <si>
    <t>To Carriage Outward a/c</t>
  </si>
  <si>
    <t>To Advertisement a/c</t>
  </si>
  <si>
    <t>To  Miscellaneous a/c</t>
  </si>
  <si>
    <t>To Interest on Bank Loan a/c</t>
  </si>
  <si>
    <r>
      <t xml:space="preserve">Add : </t>
    </r>
    <r>
      <rPr>
        <sz val="11"/>
        <color theme="1"/>
        <rFont val="Aptos Narrow"/>
        <family val="2"/>
        <scheme val="minor"/>
      </rPr>
      <t>Accured Interest on Bank Loan</t>
    </r>
  </si>
  <si>
    <t>By Gross Profit b/d</t>
  </si>
  <si>
    <t>By Discount Received a/c</t>
  </si>
  <si>
    <t>By Commission Received a/c</t>
  </si>
  <si>
    <t>By Interest Received a/c</t>
  </si>
  <si>
    <t xml:space="preserve">To Depreciation on Machinery </t>
  </si>
  <si>
    <t>To Depreciation on Computer</t>
  </si>
  <si>
    <t xml:space="preserve">To Depreciation on Furniture </t>
  </si>
  <si>
    <t>To Depreciation on Building</t>
  </si>
  <si>
    <t xml:space="preserve">To Net Profit </t>
  </si>
  <si>
    <t xml:space="preserve">Liabilities </t>
  </si>
  <si>
    <t>Assets</t>
  </si>
  <si>
    <t xml:space="preserve">Capital </t>
  </si>
  <si>
    <r>
      <t xml:space="preserve">Add : </t>
    </r>
    <r>
      <rPr>
        <sz val="11"/>
        <color theme="1"/>
        <rFont val="Aptos Narrow"/>
        <family val="2"/>
        <scheme val="minor"/>
      </rPr>
      <t xml:space="preserve">Net Profit </t>
    </r>
  </si>
  <si>
    <r>
      <t xml:space="preserve">Less : </t>
    </r>
    <r>
      <rPr>
        <sz val="11"/>
        <color theme="1"/>
        <rFont val="Aptos Narrow"/>
        <family val="2"/>
        <scheme val="minor"/>
      </rPr>
      <t xml:space="preserve">Drawings </t>
    </r>
  </si>
  <si>
    <t xml:space="preserve">Current Liabilities </t>
  </si>
  <si>
    <t xml:space="preserve">Royal Suppliers </t>
  </si>
  <si>
    <t xml:space="preserve">Metro Distributors </t>
  </si>
  <si>
    <t xml:space="preserve">Outstanding Salary </t>
  </si>
  <si>
    <t>Accured Interest on Bank Loan</t>
  </si>
  <si>
    <t xml:space="preserve">Non Current Liabilities </t>
  </si>
  <si>
    <t xml:space="preserve">Bank Loan </t>
  </si>
  <si>
    <t xml:space="preserve">Fixed Assets : </t>
  </si>
  <si>
    <t xml:space="preserve">Computer </t>
  </si>
  <si>
    <r>
      <t xml:space="preserve">Less : </t>
    </r>
    <r>
      <rPr>
        <sz val="11"/>
        <color theme="1"/>
        <rFont val="Aptos Narrow"/>
        <family val="2"/>
        <scheme val="minor"/>
      </rPr>
      <t xml:space="preserve">Depreciation </t>
    </r>
  </si>
  <si>
    <t xml:space="preserve">Machinery </t>
  </si>
  <si>
    <r>
      <t>Less :</t>
    </r>
    <r>
      <rPr>
        <sz val="11"/>
        <color theme="1"/>
        <rFont val="Aptos Narrow"/>
        <family val="2"/>
        <scheme val="minor"/>
      </rPr>
      <t xml:space="preserve"> Depreciation </t>
    </r>
  </si>
  <si>
    <t xml:space="preserve">Furniture </t>
  </si>
  <si>
    <t xml:space="preserve">Buildings </t>
  </si>
  <si>
    <r>
      <t>Less :</t>
    </r>
    <r>
      <rPr>
        <sz val="11"/>
        <color theme="1"/>
        <rFont val="Aptos Narrow"/>
        <family val="2"/>
        <scheme val="minor"/>
      </rPr>
      <t xml:space="preserve"> Depreciation</t>
    </r>
    <r>
      <rPr>
        <b/>
        <sz val="11"/>
        <color theme="1"/>
        <rFont val="Aptos Narrow"/>
        <family val="2"/>
        <scheme val="minor"/>
      </rPr>
      <t xml:space="preserve"> </t>
    </r>
  </si>
  <si>
    <t xml:space="preserve">Current Assets : </t>
  </si>
  <si>
    <t xml:space="preserve">Cash in Hand </t>
  </si>
  <si>
    <t xml:space="preserve">Prepaid Insurance </t>
  </si>
  <si>
    <t xml:space="preserve">Closing Stock </t>
  </si>
  <si>
    <t>Sundry Debtors :</t>
  </si>
  <si>
    <t xml:space="preserve">Arjun Traders </t>
  </si>
  <si>
    <t xml:space="preserve">Meera Stores </t>
  </si>
  <si>
    <t>Sundry Creditors :</t>
  </si>
  <si>
    <t xml:space="preserve">Ratio Analysis </t>
  </si>
  <si>
    <t xml:space="preserve">Interpretation </t>
  </si>
  <si>
    <t>1. Current Ratio</t>
  </si>
  <si>
    <t xml:space="preserve">Current Assets / Current Liabilities </t>
  </si>
  <si>
    <t>Ideal Ratio is  2:1</t>
  </si>
  <si>
    <t>Current Asset</t>
  </si>
  <si>
    <t>Current Liabilities</t>
  </si>
  <si>
    <t xml:space="preserve">This Indicates Excellent Short Term Solvency and a very strong ability to meet its current Obligations </t>
  </si>
  <si>
    <t>=</t>
  </si>
  <si>
    <t>Slow Moving Inventory can falsely inflate liquidity</t>
  </si>
  <si>
    <t>₹</t>
  </si>
  <si>
    <t>Cash+ Bank+Prepaid Expenses +Closing stock + Debtors</t>
  </si>
  <si>
    <t xml:space="preserve">Outstanding Salary +Accured interest on Bank Loan + Creditors </t>
  </si>
  <si>
    <t>2.Quick Ratio</t>
  </si>
  <si>
    <t xml:space="preserve">Quick Assets / Current Liabilities </t>
  </si>
  <si>
    <t>Ideal Ratio is 1: 1</t>
  </si>
  <si>
    <t xml:space="preserve">Quick assets </t>
  </si>
  <si>
    <t xml:space="preserve">Current assets - Inventory - Prepaid Expenses </t>
  </si>
  <si>
    <t>This Indicates Excellent immediate Liquidity and a very strong ability to meet short term obligations</t>
  </si>
  <si>
    <t>Excluding all inventory undervalues liquid stock- heavy firms</t>
  </si>
  <si>
    <t xml:space="preserve">3. Cash Ratio </t>
  </si>
  <si>
    <t>(Cash + Cash Equivalents )/ Current Liabilities</t>
  </si>
  <si>
    <t>Ideal Ratio is 0.5 :1</t>
  </si>
  <si>
    <t xml:space="preserve">Cash +  Cash Equivalents </t>
  </si>
  <si>
    <t>Cash + Bank</t>
  </si>
  <si>
    <t>Comfortably meets all its short term obligations using only its cash and cash equivalents</t>
  </si>
  <si>
    <t xml:space="preserve">Excess idle Cash lowers overall company profitability </t>
  </si>
  <si>
    <t>4. Debt Equity Ratio</t>
  </si>
  <si>
    <t xml:space="preserve">Total Debt / Shareholders Equity </t>
  </si>
  <si>
    <t>Ideal Ratio is &lt;1.0</t>
  </si>
  <si>
    <t xml:space="preserve">Total Debt </t>
  </si>
  <si>
    <t>Shareholders Equity</t>
  </si>
  <si>
    <t xml:space="preserve">This indicates a very low level of financial leverage and a strong equity base </t>
  </si>
  <si>
    <t>Debt Equity Ratio</t>
  </si>
  <si>
    <t>Capital Structures very too wildly across industries</t>
  </si>
  <si>
    <t xml:space="preserve">The Firm has ₹1.65 of Quick assets for Every ₹1 of Current Liabilities </t>
  </si>
  <si>
    <t>The Firm has ₹1.10 of Cash and  cash equivalents for Every ₹ 1 of current Liabilities</t>
  </si>
  <si>
    <t>Current Liabilities + Bank Loan</t>
  </si>
  <si>
    <t>Capital + Net Profit - Drawings</t>
  </si>
  <si>
    <t xml:space="preserve">The Firm Has ₹ 0.9976 of total Debt For Every ₹ 1 of  Shareholders Equity . </t>
  </si>
  <si>
    <t>5. Debt Asset Ratio</t>
  </si>
  <si>
    <t>Total Debt / Total Assets</t>
  </si>
  <si>
    <t>Ideal Ratio is &lt;50%</t>
  </si>
  <si>
    <t>Total Assets</t>
  </si>
  <si>
    <t>Fixed Assets + Current Asset+ Debtors</t>
  </si>
  <si>
    <t>The Firm Finances 23.53% of its assets through debt</t>
  </si>
  <si>
    <t xml:space="preserve"> Debt Asset Ratio</t>
  </si>
  <si>
    <t>Indicates Strong Financial stability and a low level of financial risk</t>
  </si>
  <si>
    <t xml:space="preserve">6. Asset Turnover Ratio </t>
  </si>
  <si>
    <t xml:space="preserve">Net Sales / Total Assets </t>
  </si>
  <si>
    <t>Ideal ratio is &gt;2 times</t>
  </si>
  <si>
    <t xml:space="preserve">Net Sales </t>
  </si>
  <si>
    <t>Sales + sales Return</t>
  </si>
  <si>
    <t>If Ratio is very low → Poor Utilization of assets .</t>
  </si>
  <si>
    <t xml:space="preserve">Asset Turnover Ratio </t>
  </si>
  <si>
    <t xml:space="preserve">It Indicating that assets are very not being used efficiently to generate sales </t>
  </si>
  <si>
    <t>7. Inventory Turnover Ratio</t>
  </si>
  <si>
    <t xml:space="preserve">Cost of Goods sold / Average Inventory </t>
  </si>
  <si>
    <t xml:space="preserve">Ideal Ratio is 5- 10 times </t>
  </si>
  <si>
    <t>COGS</t>
  </si>
  <si>
    <t>Opening stock + Net Purchase + Direct Expenses- Closing Stock</t>
  </si>
  <si>
    <t>Average Inventory</t>
  </si>
  <si>
    <t>(Opening Stock + Closing Stock ) / 2</t>
  </si>
  <si>
    <t>This indicates that inventory is moving relatively slowly and the business can improve its inventory and sales</t>
  </si>
  <si>
    <t>Excessively high turnover causes frequent stockouts.</t>
  </si>
  <si>
    <t>8. Working Capital Turnover Ratio</t>
  </si>
  <si>
    <t>Net Sales / Working Capital</t>
  </si>
  <si>
    <t xml:space="preserve">Ideal Ratio is 2-4 </t>
  </si>
  <si>
    <t>Working Capital</t>
  </si>
  <si>
    <t>Current Assets - Current Liabilities</t>
  </si>
  <si>
    <t>The Business is not working capital efficiently to generate sales</t>
  </si>
  <si>
    <t>Low working capital creates deceptive efficiency signs.</t>
  </si>
  <si>
    <t>The Firm generates ₹ 0.3403 of net sales for every ₹ 1 invested imn total assets</t>
  </si>
  <si>
    <t xml:space="preserve">The Working Capital Turnover Ratio of 1.6430 times is below the ideal range of 2-4 times </t>
  </si>
  <si>
    <t xml:space="preserve">The Firm Has ₹ 0.2584 of debt for every ₹1 of total asset </t>
  </si>
  <si>
    <t xml:space="preserve">The Inventory Turnover ratio is 1.6263 times, which is below the ideal range of 5-10 times </t>
  </si>
  <si>
    <t xml:space="preserve">The Firm Has ₹ 2.43 of Current Assets for every ₹ 1 of Current Liabilities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</si>
</sst>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1"/>
      <color theme="1"/>
      <name val="Aptos Narrow"/>
      <family val="2"/>
      <scheme val="minor"/>
    </font>
    <font>
      <b/>
      <i/>
      <sz val="12"/>
      <color theme="1"/>
      <name val="Times New Roman"/>
      <family val="1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2C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4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4" borderId="12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/>
    <xf numFmtId="0" fontId="6" fillId="0" borderId="12" xfId="0" applyFont="1" applyBorder="1" applyAlignment="1">
      <alignment horizontal="center"/>
    </xf>
    <xf numFmtId="3" fontId="0" fillId="0" borderId="12" xfId="0" applyNumberFormat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0" fillId="0" borderId="12" xfId="0" applyBorder="1" applyAlignment="1">
      <alignment horizontal="left"/>
    </xf>
    <xf numFmtId="3" fontId="6" fillId="0" borderId="12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3" fontId="0" fillId="0" borderId="12" xfId="0" applyNumberFormat="1" applyBorder="1"/>
    <xf numFmtId="0" fontId="0" fillId="0" borderId="18" xfId="0" applyBorder="1" applyAlignment="1">
      <alignment horizontal="center"/>
    </xf>
    <xf numFmtId="3" fontId="0" fillId="0" borderId="18" xfId="0" applyNumberFormat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6" fillId="4" borderId="17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3" fontId="0" fillId="0" borderId="21" xfId="0" applyNumberFormat="1" applyBorder="1" applyAlignment="1">
      <alignment horizontal="center"/>
    </xf>
    <xf numFmtId="3" fontId="0" fillId="0" borderId="22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3" fontId="0" fillId="0" borderId="20" xfId="0" applyNumberFormat="1" applyBorder="1" applyAlignment="1">
      <alignment horizontal="center"/>
    </xf>
    <xf numFmtId="0" fontId="6" fillId="0" borderId="21" xfId="0" applyFont="1" applyBorder="1"/>
    <xf numFmtId="0" fontId="0" fillId="0" borderId="20" xfId="0" applyBorder="1" applyAlignment="1">
      <alignment horizontal="center"/>
    </xf>
    <xf numFmtId="0" fontId="0" fillId="0" borderId="23" xfId="0" applyBorder="1" applyAlignment="1">
      <alignment horizontal="center"/>
    </xf>
    <xf numFmtId="2" fontId="0" fillId="0" borderId="18" xfId="0" applyNumberFormat="1" applyBorder="1" applyAlignment="1">
      <alignment horizontal="center"/>
    </xf>
    <xf numFmtId="3" fontId="0" fillId="0" borderId="23" xfId="0" applyNumberFormat="1" applyBorder="1" applyAlignment="1">
      <alignment horizontal="center"/>
    </xf>
    <xf numFmtId="3" fontId="0" fillId="0" borderId="19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6" fillId="0" borderId="20" xfId="0" applyFont="1" applyBorder="1"/>
    <xf numFmtId="0" fontId="9" fillId="0" borderId="0" xfId="0" applyFont="1"/>
    <xf numFmtId="0" fontId="9" fillId="8" borderId="12" xfId="0" applyFont="1" applyFill="1" applyBorder="1" applyAlignment="1">
      <alignment horizontal="center"/>
    </xf>
    <xf numFmtId="0" fontId="6" fillId="8" borderId="23" xfId="0" applyFont="1" applyFill="1" applyBorder="1"/>
    <xf numFmtId="0" fontId="6" fillId="8" borderId="20" xfId="0" applyFont="1" applyFill="1" applyBorder="1"/>
    <xf numFmtId="0" fontId="0" fillId="8" borderId="20" xfId="0" applyFill="1" applyBorder="1"/>
    <xf numFmtId="0" fontId="0" fillId="8" borderId="18" xfId="0" applyFill="1" applyBorder="1"/>
    <xf numFmtId="0" fontId="0" fillId="8" borderId="21" xfId="0" applyFill="1" applyBorder="1"/>
    <xf numFmtId="3" fontId="0" fillId="8" borderId="21" xfId="0" applyNumberFormat="1" applyFill="1" applyBorder="1" applyAlignment="1">
      <alignment horizontal="center"/>
    </xf>
    <xf numFmtId="0" fontId="6" fillId="8" borderId="19" xfId="0" applyFont="1" applyFill="1" applyBorder="1"/>
    <xf numFmtId="0" fontId="0" fillId="8" borderId="22" xfId="0" applyFill="1" applyBorder="1" applyAlignment="1">
      <alignment horizontal="center"/>
    </xf>
    <xf numFmtId="2" fontId="6" fillId="8" borderId="22" xfId="0" applyNumberFormat="1" applyFont="1" applyFill="1" applyBorder="1" applyAlignment="1">
      <alignment horizontal="center"/>
    </xf>
    <xf numFmtId="0" fontId="0" fillId="8" borderId="22" xfId="0" applyFill="1" applyBorder="1"/>
    <xf numFmtId="0" fontId="0" fillId="0" borderId="18" xfId="0" applyBorder="1"/>
    <xf numFmtId="0" fontId="0" fillId="8" borderId="20" xfId="0" applyFill="1" applyBorder="1" applyAlignment="1">
      <alignment horizontal="center"/>
    </xf>
    <xf numFmtId="0" fontId="6" fillId="8" borderId="18" xfId="0" applyFont="1" applyFill="1" applyBorder="1"/>
    <xf numFmtId="0" fontId="6" fillId="8" borderId="21" xfId="0" applyFont="1" applyFill="1" applyBorder="1"/>
    <xf numFmtId="0" fontId="0" fillId="8" borderId="21" xfId="0" applyFill="1" applyBorder="1" applyAlignment="1">
      <alignment horizontal="center"/>
    </xf>
    <xf numFmtId="3" fontId="0" fillId="8" borderId="0" xfId="0" applyNumberFormat="1" applyFill="1" applyAlignment="1">
      <alignment horizontal="center"/>
    </xf>
    <xf numFmtId="164" fontId="6" fillId="8" borderId="22" xfId="0" applyNumberFormat="1" applyFont="1" applyFill="1" applyBorder="1" applyAlignment="1">
      <alignment horizontal="center"/>
    </xf>
    <xf numFmtId="0" fontId="0" fillId="8" borderId="19" xfId="0" applyFill="1" applyBorder="1"/>
    <xf numFmtId="0" fontId="7" fillId="5" borderId="0" xfId="0" applyFont="1" applyFill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vertical="center" wrapText="1"/>
    </xf>
    <xf numFmtId="0" fontId="4" fillId="7" borderId="4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3" fillId="7" borderId="2" xfId="0" applyFont="1" applyFill="1" applyBorder="1" applyAlignment="1">
      <alignment wrapText="1"/>
    </xf>
    <xf numFmtId="0" fontId="3" fillId="7" borderId="4" xfId="0" applyFont="1" applyFill="1" applyBorder="1" applyAlignment="1">
      <alignment wrapText="1"/>
    </xf>
    <xf numFmtId="0" fontId="3" fillId="7" borderId="3" xfId="0" applyFont="1" applyFill="1" applyBorder="1" applyAlignment="1">
      <alignment wrapText="1"/>
    </xf>
    <xf numFmtId="0" fontId="4" fillId="7" borderId="5" xfId="0" applyFont="1" applyFill="1" applyBorder="1" applyAlignment="1">
      <alignment vertical="center" wrapText="1"/>
    </xf>
    <xf numFmtId="0" fontId="4" fillId="7" borderId="6" xfId="0" applyFont="1" applyFill="1" applyBorder="1" applyAlignment="1">
      <alignment vertical="center" wrapText="1"/>
    </xf>
    <xf numFmtId="0" fontId="4" fillId="7" borderId="7" xfId="0" applyFont="1" applyFill="1" applyBorder="1" applyAlignment="1">
      <alignment vertical="center" wrapText="1"/>
    </xf>
    <xf numFmtId="0" fontId="0" fillId="0" borderId="16" xfId="0" applyBorder="1" applyAlignment="1">
      <alignment horizontal="center"/>
    </xf>
    <xf numFmtId="0" fontId="9" fillId="8" borderId="12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vertical="center" wrapText="1"/>
    </xf>
    <xf numFmtId="0" fontId="3" fillId="4" borderId="10" xfId="0" applyFont="1" applyFill="1" applyBorder="1" applyAlignment="1">
      <alignment vertical="center" wrapText="1"/>
    </xf>
    <xf numFmtId="0" fontId="3" fillId="4" borderId="11" xfId="0" applyFont="1" applyFill="1" applyBorder="1" applyAlignment="1">
      <alignment vertical="center" wrapText="1"/>
    </xf>
    <xf numFmtId="3" fontId="3" fillId="4" borderId="9" xfId="0" applyNumberFormat="1" applyFont="1" applyFill="1" applyBorder="1" applyAlignment="1">
      <alignment horizontal="center" vertical="center" wrapText="1"/>
    </xf>
    <xf numFmtId="15" fontId="3" fillId="4" borderId="13" xfId="0" applyNumberFormat="1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vertical="center" wrapText="1"/>
    </xf>
    <xf numFmtId="15" fontId="3" fillId="4" borderId="8" xfId="0" applyNumberFormat="1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vertical="center" wrapText="1"/>
    </xf>
    <xf numFmtId="0" fontId="3" fillId="4" borderId="9" xfId="0" applyFont="1" applyFill="1" applyBorder="1" applyAlignment="1">
      <alignment vertical="center" wrapText="1"/>
    </xf>
    <xf numFmtId="0" fontId="4" fillId="5" borderId="8" xfId="0" applyFont="1" applyFill="1" applyBorder="1" applyAlignment="1">
      <alignment vertical="center" wrapText="1"/>
    </xf>
    <xf numFmtId="0" fontId="4" fillId="5" borderId="1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8DDF8-629A-4B0E-AC12-1010F980E567}">
  <dimension ref="A1:C76"/>
  <sheetViews>
    <sheetView tabSelected="1" zoomScale="79" zoomScaleNormal="115" workbookViewId="0">
      <selection activeCell="E8" sqref="E8"/>
    </sheetView>
  </sheetViews>
  <sheetFormatPr defaultRowHeight="14.4" x14ac:dyDescent="0.3"/>
  <cols>
    <col min="1" max="1" width="60.6640625" customWidth="1"/>
    <col min="2" max="2" width="75.33203125" customWidth="1"/>
    <col min="3" max="3" width="15.6640625" customWidth="1"/>
    <col min="4" max="5" width="15.88671875" customWidth="1"/>
  </cols>
  <sheetData>
    <row r="1" spans="1:3" ht="51" customHeight="1" thickBot="1" x14ac:dyDescent="0.4">
      <c r="A1" s="64" t="s">
        <v>0</v>
      </c>
      <c r="B1" s="65"/>
      <c r="C1" s="66"/>
    </row>
    <row r="2" spans="1:3" ht="15" thickBot="1" x14ac:dyDescent="0.35">
      <c r="A2" s="4"/>
      <c r="B2" s="4"/>
      <c r="C2" s="4"/>
    </row>
    <row r="3" spans="1:3" ht="16.2" thickBot="1" x14ac:dyDescent="0.35">
      <c r="A3" s="67" t="s">
        <v>1</v>
      </c>
      <c r="B3" s="68"/>
      <c r="C3" s="4"/>
    </row>
    <row r="4" spans="1:3" ht="16.2" thickBot="1" x14ac:dyDescent="0.35">
      <c r="A4" s="62" t="s">
        <v>2</v>
      </c>
      <c r="B4" s="63"/>
      <c r="C4" s="4"/>
    </row>
    <row r="5" spans="1:3" ht="16.2" thickBot="1" x14ac:dyDescent="0.35">
      <c r="A5" s="62" t="s">
        <v>3</v>
      </c>
      <c r="B5" s="63"/>
      <c r="C5" s="4"/>
    </row>
    <row r="6" spans="1:3" ht="16.2" thickBot="1" x14ac:dyDescent="0.35">
      <c r="A6" s="62" t="s">
        <v>4</v>
      </c>
      <c r="B6" s="63"/>
      <c r="C6" s="4"/>
    </row>
    <row r="7" spans="1:3" ht="16.2" thickBot="1" x14ac:dyDescent="0.35">
      <c r="A7" s="62" t="s">
        <v>5</v>
      </c>
      <c r="B7" s="63"/>
      <c r="C7" s="4"/>
    </row>
    <row r="8" spans="1:3" ht="16.2" thickBot="1" x14ac:dyDescent="0.35">
      <c r="A8" s="62" t="s">
        <v>6</v>
      </c>
      <c r="B8" s="63"/>
      <c r="C8" s="4"/>
    </row>
    <row r="9" spans="1:3" ht="16.2" thickBot="1" x14ac:dyDescent="0.35">
      <c r="A9" s="62" t="s">
        <v>7</v>
      </c>
      <c r="B9" s="63"/>
      <c r="C9" s="4"/>
    </row>
    <row r="10" spans="1:3" ht="15" thickBot="1" x14ac:dyDescent="0.35">
      <c r="A10" s="4"/>
      <c r="B10" s="4"/>
      <c r="C10" s="4"/>
    </row>
    <row r="11" spans="1:3" ht="16.2" thickBot="1" x14ac:dyDescent="0.35">
      <c r="A11" s="67" t="s">
        <v>8</v>
      </c>
      <c r="B11" s="69"/>
      <c r="C11" s="68"/>
    </row>
    <row r="12" spans="1:3" ht="16.2" thickBot="1" x14ac:dyDescent="0.35">
      <c r="A12" s="62" t="s">
        <v>9</v>
      </c>
      <c r="B12" s="63"/>
      <c r="C12" s="4"/>
    </row>
    <row r="13" spans="1:3" ht="16.2" thickBot="1" x14ac:dyDescent="0.35">
      <c r="A13" s="62" t="s">
        <v>10</v>
      </c>
      <c r="B13" s="63"/>
      <c r="C13" s="4"/>
    </row>
    <row r="14" spans="1:3" ht="16.2" thickBot="1" x14ac:dyDescent="0.35">
      <c r="A14" s="62" t="s">
        <v>11</v>
      </c>
      <c r="B14" s="63"/>
      <c r="C14" s="4"/>
    </row>
    <row r="15" spans="1:3" ht="31.2" customHeight="1" thickBot="1" x14ac:dyDescent="0.35">
      <c r="A15" s="62" t="s">
        <v>12</v>
      </c>
      <c r="B15" s="63"/>
      <c r="C15" s="4"/>
    </row>
    <row r="16" spans="1:3" ht="16.2" thickBot="1" x14ac:dyDescent="0.35">
      <c r="A16" s="62" t="s">
        <v>13</v>
      </c>
      <c r="B16" s="63"/>
      <c r="C16" s="4"/>
    </row>
    <row r="17" spans="1:3" ht="16.2" thickBot="1" x14ac:dyDescent="0.35">
      <c r="A17" s="62" t="s">
        <v>14</v>
      </c>
      <c r="B17" s="63"/>
      <c r="C17" s="4"/>
    </row>
    <row r="18" spans="1:3" ht="16.2" thickBot="1" x14ac:dyDescent="0.35">
      <c r="A18" s="62" t="s">
        <v>15</v>
      </c>
      <c r="B18" s="63"/>
      <c r="C18" s="4"/>
    </row>
    <row r="19" spans="1:3" ht="16.2" thickBot="1" x14ac:dyDescent="0.35">
      <c r="A19" s="62" t="s">
        <v>16</v>
      </c>
      <c r="B19" s="63"/>
      <c r="C19" s="4"/>
    </row>
    <row r="20" spans="1:3" ht="15" thickBot="1" x14ac:dyDescent="0.35">
      <c r="A20" s="4"/>
      <c r="B20" s="4"/>
      <c r="C20" s="4"/>
    </row>
    <row r="21" spans="1:3" ht="31.2" customHeight="1" thickBot="1" x14ac:dyDescent="0.35">
      <c r="A21" s="70" t="s">
        <v>17</v>
      </c>
      <c r="B21" s="71"/>
      <c r="C21" s="72"/>
    </row>
    <row r="22" spans="1:3" ht="16.2" thickBot="1" x14ac:dyDescent="0.35">
      <c r="A22" s="75" t="s">
        <v>18</v>
      </c>
      <c r="B22" s="76"/>
      <c r="C22" s="77" t="s">
        <v>19</v>
      </c>
    </row>
    <row r="23" spans="1:3" ht="16.2" thickBot="1" x14ac:dyDescent="0.35">
      <c r="A23" s="78" t="s">
        <v>20</v>
      </c>
      <c r="B23" s="79"/>
      <c r="C23" s="80">
        <v>55000</v>
      </c>
    </row>
    <row r="24" spans="1:3" ht="16.2" thickBot="1" x14ac:dyDescent="0.35">
      <c r="A24" s="78" t="s">
        <v>21</v>
      </c>
      <c r="B24" s="79"/>
      <c r="C24" s="80">
        <v>150000</v>
      </c>
    </row>
    <row r="25" spans="1:3" ht="16.2" thickBot="1" x14ac:dyDescent="0.35">
      <c r="A25" s="78" t="s">
        <v>22</v>
      </c>
      <c r="B25" s="79"/>
      <c r="C25" s="80">
        <v>120000</v>
      </c>
    </row>
    <row r="26" spans="1:3" ht="16.2" thickBot="1" x14ac:dyDescent="0.35">
      <c r="A26" s="78" t="s">
        <v>23</v>
      </c>
      <c r="B26" s="79"/>
      <c r="C26" s="80">
        <v>80000</v>
      </c>
    </row>
    <row r="27" spans="1:3" ht="16.2" thickBot="1" x14ac:dyDescent="0.35">
      <c r="A27" s="78" t="s">
        <v>24</v>
      </c>
      <c r="B27" s="79"/>
      <c r="C27" s="80">
        <v>250000</v>
      </c>
    </row>
    <row r="28" spans="1:3" ht="16.2" thickBot="1" x14ac:dyDescent="0.35">
      <c r="A28" s="78" t="s">
        <v>25</v>
      </c>
      <c r="B28" s="79"/>
      <c r="C28" s="80">
        <v>400000</v>
      </c>
    </row>
    <row r="29" spans="1:3" ht="31.2" customHeight="1" thickBot="1" x14ac:dyDescent="0.35">
      <c r="A29" s="78" t="s">
        <v>26</v>
      </c>
      <c r="B29" s="79"/>
      <c r="C29" s="80">
        <v>85000</v>
      </c>
    </row>
    <row r="30" spans="1:3" ht="31.2" customHeight="1" thickBot="1" x14ac:dyDescent="0.35">
      <c r="A30" s="78" t="s">
        <v>27</v>
      </c>
      <c r="B30" s="79"/>
      <c r="C30" s="80">
        <v>60000</v>
      </c>
    </row>
    <row r="31" spans="1:3" ht="31.2" customHeight="1" thickBot="1" x14ac:dyDescent="0.35">
      <c r="A31" s="78" t="s">
        <v>28</v>
      </c>
      <c r="B31" s="79"/>
      <c r="C31" s="80">
        <v>90000</v>
      </c>
    </row>
    <row r="32" spans="1:3" ht="31.2" customHeight="1" thickBot="1" x14ac:dyDescent="0.35">
      <c r="A32" s="78" t="s">
        <v>29</v>
      </c>
      <c r="B32" s="79"/>
      <c r="C32" s="80">
        <v>55000</v>
      </c>
    </row>
    <row r="33" spans="1:3" ht="16.2" thickBot="1" x14ac:dyDescent="0.35">
      <c r="A33" s="78" t="s">
        <v>30</v>
      </c>
      <c r="B33" s="79"/>
      <c r="C33" s="80">
        <v>150000</v>
      </c>
    </row>
    <row r="34" spans="1:3" ht="15" thickBot="1" x14ac:dyDescent="0.35">
      <c r="A34" s="4"/>
      <c r="B34" s="4"/>
    </row>
    <row r="35" spans="1:3" ht="15" thickBot="1" x14ac:dyDescent="0.35">
      <c r="A35" s="4"/>
      <c r="B35" s="4"/>
    </row>
    <row r="36" spans="1:3" ht="16.2" thickBot="1" x14ac:dyDescent="0.35">
      <c r="A36" s="60" t="s">
        <v>31</v>
      </c>
      <c r="B36" s="61"/>
    </row>
    <row r="37" spans="1:3" ht="16.2" thickBot="1" x14ac:dyDescent="0.35">
      <c r="A37" s="86" t="s">
        <v>32</v>
      </c>
      <c r="B37" s="87" t="s">
        <v>33</v>
      </c>
    </row>
    <row r="38" spans="1:3" ht="16.2" thickBot="1" x14ac:dyDescent="0.35">
      <c r="A38" s="81">
        <v>46114</v>
      </c>
      <c r="B38" s="82" t="s">
        <v>34</v>
      </c>
    </row>
    <row r="39" spans="1:3" ht="16.2" thickBot="1" x14ac:dyDescent="0.35">
      <c r="A39" s="81">
        <v>46115</v>
      </c>
      <c r="B39" s="82" t="s">
        <v>35</v>
      </c>
    </row>
    <row r="40" spans="1:3" ht="16.2" thickBot="1" x14ac:dyDescent="0.35">
      <c r="A40" s="83">
        <v>46116</v>
      </c>
      <c r="B40" s="84" t="s">
        <v>36</v>
      </c>
    </row>
    <row r="41" spans="1:3" ht="16.2" thickBot="1" x14ac:dyDescent="0.35">
      <c r="A41" s="83">
        <v>46117</v>
      </c>
      <c r="B41" s="85" t="s">
        <v>37</v>
      </c>
    </row>
    <row r="42" spans="1:3" ht="16.2" thickBot="1" x14ac:dyDescent="0.35">
      <c r="A42" s="83">
        <v>46118</v>
      </c>
      <c r="B42" s="85" t="s">
        <v>38</v>
      </c>
      <c r="C42" s="6"/>
    </row>
    <row r="43" spans="1:3" ht="16.2" thickBot="1" x14ac:dyDescent="0.35">
      <c r="A43" s="83">
        <v>46119</v>
      </c>
      <c r="B43" s="85" t="s">
        <v>39</v>
      </c>
    </row>
    <row r="44" spans="1:3" ht="16.2" thickBot="1" x14ac:dyDescent="0.35">
      <c r="A44" s="83">
        <v>46120</v>
      </c>
      <c r="B44" s="85" t="s">
        <v>40</v>
      </c>
    </row>
    <row r="45" spans="1:3" ht="16.2" thickBot="1" x14ac:dyDescent="0.35">
      <c r="A45" s="83">
        <v>46121</v>
      </c>
      <c r="B45" s="85" t="s">
        <v>41</v>
      </c>
    </row>
    <row r="46" spans="1:3" ht="16.2" thickBot="1" x14ac:dyDescent="0.35">
      <c r="A46" s="83">
        <v>46122</v>
      </c>
      <c r="B46" s="85" t="s">
        <v>42</v>
      </c>
    </row>
    <row r="47" spans="1:3" ht="16.2" thickBot="1" x14ac:dyDescent="0.35">
      <c r="A47" s="83">
        <v>46123</v>
      </c>
      <c r="B47" s="85" t="s">
        <v>43</v>
      </c>
    </row>
    <row r="48" spans="1:3" ht="16.2" thickBot="1" x14ac:dyDescent="0.35">
      <c r="A48" s="83">
        <v>46124</v>
      </c>
      <c r="B48" s="85" t="s">
        <v>44</v>
      </c>
    </row>
    <row r="49" spans="1:2" ht="16.2" thickBot="1" x14ac:dyDescent="0.35">
      <c r="A49" s="83">
        <v>46125</v>
      </c>
      <c r="B49" s="85" t="s">
        <v>45</v>
      </c>
    </row>
    <row r="50" spans="1:2" ht="16.2" thickBot="1" x14ac:dyDescent="0.35">
      <c r="A50" s="83">
        <v>46126</v>
      </c>
      <c r="B50" s="85" t="s">
        <v>46</v>
      </c>
    </row>
    <row r="51" spans="1:2" ht="16.2" thickBot="1" x14ac:dyDescent="0.35">
      <c r="A51" s="83">
        <v>46127</v>
      </c>
      <c r="B51" s="85" t="s">
        <v>47</v>
      </c>
    </row>
    <row r="52" spans="1:2" ht="16.2" thickBot="1" x14ac:dyDescent="0.35">
      <c r="A52" s="83">
        <v>46128</v>
      </c>
      <c r="B52" s="85" t="s">
        <v>48</v>
      </c>
    </row>
    <row r="53" spans="1:2" ht="16.2" thickBot="1" x14ac:dyDescent="0.35">
      <c r="A53" s="83">
        <v>46129</v>
      </c>
      <c r="B53" s="85" t="s">
        <v>49</v>
      </c>
    </row>
    <row r="54" spans="1:2" ht="16.2" thickBot="1" x14ac:dyDescent="0.35">
      <c r="A54" s="83">
        <v>46130</v>
      </c>
      <c r="B54" s="85" t="s">
        <v>50</v>
      </c>
    </row>
    <row r="55" spans="1:2" ht="16.2" thickBot="1" x14ac:dyDescent="0.35">
      <c r="A55" s="83">
        <v>46131</v>
      </c>
      <c r="B55" s="85" t="s">
        <v>51</v>
      </c>
    </row>
    <row r="56" spans="1:2" ht="16.2" thickBot="1" x14ac:dyDescent="0.35">
      <c r="A56" s="83">
        <v>46132</v>
      </c>
      <c r="B56" s="85" t="s">
        <v>52</v>
      </c>
    </row>
    <row r="57" spans="1:2" ht="16.2" thickBot="1" x14ac:dyDescent="0.35">
      <c r="A57" s="83">
        <v>46133</v>
      </c>
      <c r="B57" s="85" t="s">
        <v>53</v>
      </c>
    </row>
    <row r="58" spans="1:2" ht="16.2" thickBot="1" x14ac:dyDescent="0.35">
      <c r="A58" s="83">
        <v>46134</v>
      </c>
      <c r="B58" s="85" t="s">
        <v>54</v>
      </c>
    </row>
    <row r="59" spans="1:2" ht="16.2" thickBot="1" x14ac:dyDescent="0.35">
      <c r="A59" s="83">
        <v>46135</v>
      </c>
      <c r="B59" s="85" t="s">
        <v>55</v>
      </c>
    </row>
    <row r="60" spans="1:2" ht="16.2" thickBot="1" x14ac:dyDescent="0.35">
      <c r="A60" s="83">
        <v>46136</v>
      </c>
      <c r="B60" s="85" t="s">
        <v>56</v>
      </c>
    </row>
    <row r="61" spans="1:2" ht="16.2" thickBot="1" x14ac:dyDescent="0.35">
      <c r="A61" s="83">
        <v>46137</v>
      </c>
      <c r="B61" s="85" t="s">
        <v>57</v>
      </c>
    </row>
    <row r="62" spans="1:2" ht="16.2" thickBot="1" x14ac:dyDescent="0.35">
      <c r="A62" s="83">
        <v>46138</v>
      </c>
      <c r="B62" s="85" t="s">
        <v>58</v>
      </c>
    </row>
    <row r="63" spans="1:2" ht="16.2" thickBot="1" x14ac:dyDescent="0.35">
      <c r="A63" s="83">
        <v>46139</v>
      </c>
      <c r="B63" s="85" t="s">
        <v>59</v>
      </c>
    </row>
    <row r="64" spans="1:2" ht="16.2" thickBot="1" x14ac:dyDescent="0.35">
      <c r="A64" s="83">
        <v>46140</v>
      </c>
      <c r="B64" s="85" t="s">
        <v>60</v>
      </c>
    </row>
    <row r="65" spans="1:2" ht="16.2" thickBot="1" x14ac:dyDescent="0.35">
      <c r="A65" s="83">
        <v>46141</v>
      </c>
      <c r="B65" s="85" t="s">
        <v>61</v>
      </c>
    </row>
    <row r="66" spans="1:2" ht="16.2" thickBot="1" x14ac:dyDescent="0.35">
      <c r="A66" s="83">
        <v>46142</v>
      </c>
      <c r="B66" s="85" t="s">
        <v>62</v>
      </c>
    </row>
    <row r="67" spans="1:2" ht="16.2" thickBot="1" x14ac:dyDescent="0.35">
      <c r="A67" s="1" t="s">
        <v>63</v>
      </c>
    </row>
    <row r="68" spans="1:2" ht="15" thickBot="1" x14ac:dyDescent="0.35">
      <c r="A68" s="2"/>
    </row>
    <row r="69" spans="1:2" ht="16.2" thickBot="1" x14ac:dyDescent="0.35">
      <c r="A69" s="3" t="s">
        <v>64</v>
      </c>
    </row>
    <row r="70" spans="1:2" ht="16.2" thickBot="1" x14ac:dyDescent="0.35">
      <c r="A70" s="3" t="s">
        <v>65</v>
      </c>
    </row>
    <row r="71" spans="1:2" ht="16.2" thickBot="1" x14ac:dyDescent="0.35">
      <c r="A71" s="3" t="s">
        <v>66</v>
      </c>
    </row>
    <row r="72" spans="1:2" ht="16.2" thickBot="1" x14ac:dyDescent="0.35">
      <c r="A72" s="3" t="s">
        <v>67</v>
      </c>
    </row>
    <row r="73" spans="1:2" ht="16.2" thickBot="1" x14ac:dyDescent="0.35">
      <c r="A73" s="3" t="s">
        <v>68</v>
      </c>
    </row>
    <row r="74" spans="1:2" ht="16.2" thickBot="1" x14ac:dyDescent="0.35">
      <c r="A74" s="3" t="s">
        <v>69</v>
      </c>
    </row>
    <row r="75" spans="1:2" ht="16.2" thickBot="1" x14ac:dyDescent="0.35">
      <c r="A75" s="3" t="s">
        <v>70</v>
      </c>
    </row>
    <row r="76" spans="1:2" ht="16.2" thickBot="1" x14ac:dyDescent="0.35">
      <c r="A76" s="3" t="s">
        <v>71</v>
      </c>
    </row>
  </sheetData>
  <mergeCells count="31">
    <mergeCell ref="A23:B23"/>
    <mergeCell ref="A24:B24"/>
    <mergeCell ref="A25:B25"/>
    <mergeCell ref="A26:B26"/>
    <mergeCell ref="A33:B33"/>
    <mergeCell ref="A28:B28"/>
    <mergeCell ref="A29:B29"/>
    <mergeCell ref="A30:B30"/>
    <mergeCell ref="A31:B31"/>
    <mergeCell ref="A32:B32"/>
    <mergeCell ref="A17:B17"/>
    <mergeCell ref="A18:B18"/>
    <mergeCell ref="A19:B19"/>
    <mergeCell ref="A21:C21"/>
    <mergeCell ref="A22:B22"/>
    <mergeCell ref="A36:B36"/>
    <mergeCell ref="A14:B14"/>
    <mergeCell ref="A1:C1"/>
    <mergeCell ref="A3:B3"/>
    <mergeCell ref="A4:B4"/>
    <mergeCell ref="A5:B5"/>
    <mergeCell ref="A6:B6"/>
    <mergeCell ref="A7:B7"/>
    <mergeCell ref="A8:B8"/>
    <mergeCell ref="A9:B9"/>
    <mergeCell ref="A11:C11"/>
    <mergeCell ref="A12:B12"/>
    <mergeCell ref="A13:B13"/>
    <mergeCell ref="A27:B27"/>
    <mergeCell ref="A15:B15"/>
    <mergeCell ref="A16:B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E0CA1-B60B-4382-A5C2-9DF59EE24812}">
  <dimension ref="A1:H105"/>
  <sheetViews>
    <sheetView topLeftCell="A2" zoomScale="82" workbookViewId="0">
      <selection activeCell="B6" sqref="B6"/>
    </sheetView>
  </sheetViews>
  <sheetFormatPr defaultRowHeight="14.4" x14ac:dyDescent="0.3"/>
  <cols>
    <col min="1" max="1" width="14.44140625" style="6" customWidth="1"/>
    <col min="2" max="2" width="39" customWidth="1"/>
    <col min="3" max="3" width="11.6640625" style="5" customWidth="1"/>
    <col min="4" max="4" width="10.5546875" customWidth="1"/>
    <col min="5" max="5" width="19.109375" style="6" customWidth="1"/>
    <col min="6" max="6" width="19" style="6" customWidth="1"/>
    <col min="7" max="7" width="16.109375" customWidth="1"/>
    <col min="8" max="8" width="67.6640625" bestFit="1" customWidth="1"/>
  </cols>
  <sheetData>
    <row r="1" spans="1:8" ht="18" x14ac:dyDescent="0.35">
      <c r="A1" s="59" t="s">
        <v>224</v>
      </c>
      <c r="B1" s="59"/>
      <c r="C1" s="59"/>
      <c r="D1" s="59"/>
      <c r="E1" s="59"/>
      <c r="F1" s="59"/>
    </row>
    <row r="3" spans="1:8" s="5" customFormat="1" x14ac:dyDescent="0.3">
      <c r="A3" s="7" t="s">
        <v>32</v>
      </c>
      <c r="B3" s="7" t="s">
        <v>18</v>
      </c>
      <c r="C3" s="7"/>
      <c r="D3" s="7" t="s">
        <v>72</v>
      </c>
      <c r="E3" s="7" t="s">
        <v>73</v>
      </c>
      <c r="F3" s="7" t="s">
        <v>74</v>
      </c>
    </row>
    <row r="4" spans="1:8" x14ac:dyDescent="0.3">
      <c r="A4" s="8" t="s">
        <v>179</v>
      </c>
      <c r="B4" s="9" t="s">
        <v>180</v>
      </c>
      <c r="C4" s="10" t="s">
        <v>79</v>
      </c>
      <c r="D4" s="9"/>
      <c r="E4" s="11">
        <v>55000</v>
      </c>
      <c r="F4" s="8"/>
    </row>
    <row r="5" spans="1:8" x14ac:dyDescent="0.3">
      <c r="A5" s="8" t="s">
        <v>179</v>
      </c>
      <c r="B5" s="9" t="s">
        <v>122</v>
      </c>
      <c r="C5" s="10" t="s">
        <v>79</v>
      </c>
      <c r="D5" s="9"/>
      <c r="E5" s="11">
        <v>150000</v>
      </c>
      <c r="F5" s="8"/>
      <c r="H5" s="18"/>
    </row>
    <row r="6" spans="1:8" x14ac:dyDescent="0.3">
      <c r="A6" s="8" t="s">
        <v>179</v>
      </c>
      <c r="B6" s="9" t="s">
        <v>236</v>
      </c>
      <c r="C6" s="10" t="s">
        <v>79</v>
      </c>
      <c r="D6" s="9"/>
      <c r="E6" s="11">
        <v>120000</v>
      </c>
      <c r="F6" s="8"/>
      <c r="H6" s="18"/>
    </row>
    <row r="7" spans="1:8" x14ac:dyDescent="0.3">
      <c r="A7" s="8" t="s">
        <v>179</v>
      </c>
      <c r="B7" s="9" t="s">
        <v>181</v>
      </c>
      <c r="C7" s="10" t="s">
        <v>79</v>
      </c>
      <c r="D7" s="9"/>
      <c r="E7" s="11">
        <v>80000</v>
      </c>
      <c r="F7" s="8"/>
      <c r="H7" s="18"/>
    </row>
    <row r="8" spans="1:8" x14ac:dyDescent="0.3">
      <c r="A8" s="8" t="s">
        <v>179</v>
      </c>
      <c r="B8" s="9" t="s">
        <v>182</v>
      </c>
      <c r="C8" s="10" t="s">
        <v>79</v>
      </c>
      <c r="D8" s="9"/>
      <c r="E8" s="11">
        <v>400000</v>
      </c>
      <c r="F8" s="8"/>
    </row>
    <row r="9" spans="1:8" x14ac:dyDescent="0.3">
      <c r="A9" s="8" t="s">
        <v>179</v>
      </c>
      <c r="B9" s="9" t="s">
        <v>183</v>
      </c>
      <c r="C9" s="10" t="s">
        <v>79</v>
      </c>
      <c r="D9" s="9"/>
      <c r="E9" s="11">
        <v>250000</v>
      </c>
      <c r="F9" s="8"/>
    </row>
    <row r="10" spans="1:8" x14ac:dyDescent="0.3">
      <c r="A10" s="8" t="s">
        <v>179</v>
      </c>
      <c r="B10" s="9" t="s">
        <v>83</v>
      </c>
      <c r="C10" s="10" t="s">
        <v>79</v>
      </c>
      <c r="D10" s="9"/>
      <c r="E10" s="11">
        <v>85000</v>
      </c>
      <c r="F10" s="8"/>
    </row>
    <row r="11" spans="1:8" x14ac:dyDescent="0.3">
      <c r="A11" s="8" t="s">
        <v>179</v>
      </c>
      <c r="B11" s="9" t="s">
        <v>184</v>
      </c>
      <c r="C11" s="10" t="s">
        <v>79</v>
      </c>
      <c r="D11" s="9"/>
      <c r="E11" s="11">
        <v>60000</v>
      </c>
      <c r="F11" s="8"/>
    </row>
    <row r="12" spans="1:8" x14ac:dyDescent="0.3">
      <c r="A12" s="8"/>
      <c r="B12" s="9" t="s">
        <v>185</v>
      </c>
      <c r="C12" s="10"/>
      <c r="D12" s="9"/>
      <c r="E12" s="8"/>
      <c r="F12" s="11">
        <v>905000</v>
      </c>
    </row>
    <row r="13" spans="1:8" x14ac:dyDescent="0.3">
      <c r="A13" s="8"/>
      <c r="B13" s="9" t="s">
        <v>77</v>
      </c>
      <c r="C13" s="10"/>
      <c r="D13" s="9"/>
      <c r="E13" s="8"/>
      <c r="F13" s="11">
        <v>90000</v>
      </c>
    </row>
    <row r="14" spans="1:8" x14ac:dyDescent="0.3">
      <c r="A14" s="8"/>
      <c r="B14" s="9" t="s">
        <v>118</v>
      </c>
      <c r="C14" s="10"/>
      <c r="D14" s="9"/>
      <c r="E14" s="8"/>
      <c r="F14" s="11">
        <v>55000</v>
      </c>
    </row>
    <row r="15" spans="1:8" x14ac:dyDescent="0.3">
      <c r="A15" s="8"/>
      <c r="B15" s="9" t="s">
        <v>186</v>
      </c>
      <c r="C15" s="10"/>
      <c r="D15" s="9"/>
      <c r="E15" s="8"/>
      <c r="F15" s="11">
        <v>150000</v>
      </c>
    </row>
    <row r="16" spans="1:8" x14ac:dyDescent="0.3">
      <c r="A16" s="8"/>
      <c r="B16" s="9" t="s">
        <v>187</v>
      </c>
      <c r="C16" s="10"/>
      <c r="D16" s="9"/>
      <c r="E16" s="8"/>
      <c r="F16" s="8"/>
    </row>
    <row r="17" spans="1:6" x14ac:dyDescent="0.3">
      <c r="A17" s="8" t="s">
        <v>75</v>
      </c>
      <c r="B17" s="9" t="s">
        <v>76</v>
      </c>
      <c r="C17" s="10" t="s">
        <v>79</v>
      </c>
      <c r="D17" s="9"/>
      <c r="E17" s="11">
        <v>140000</v>
      </c>
      <c r="F17" s="8"/>
    </row>
    <row r="18" spans="1:6" x14ac:dyDescent="0.3">
      <c r="A18" s="8"/>
      <c r="B18" s="9" t="s">
        <v>77</v>
      </c>
      <c r="C18" s="10"/>
      <c r="D18" s="9"/>
      <c r="E18" s="8"/>
      <c r="F18" s="11">
        <v>140000</v>
      </c>
    </row>
    <row r="19" spans="1:6" x14ac:dyDescent="0.3">
      <c r="A19" s="8"/>
      <c r="B19" s="9" t="s">
        <v>78</v>
      </c>
      <c r="C19" s="10"/>
      <c r="D19" s="9"/>
      <c r="E19" s="8"/>
      <c r="F19" s="8"/>
    </row>
    <row r="20" spans="1:6" x14ac:dyDescent="0.3">
      <c r="A20" s="8" t="s">
        <v>80</v>
      </c>
      <c r="B20" s="9" t="s">
        <v>76</v>
      </c>
      <c r="C20" s="10" t="s">
        <v>79</v>
      </c>
      <c r="D20" s="9"/>
      <c r="E20" s="11">
        <v>50000</v>
      </c>
      <c r="F20" s="8"/>
    </row>
    <row r="21" spans="1:6" x14ac:dyDescent="0.3">
      <c r="A21" s="8"/>
      <c r="B21" s="9" t="s">
        <v>81</v>
      </c>
      <c r="C21" s="10"/>
      <c r="D21" s="9"/>
      <c r="E21" s="8"/>
      <c r="F21" s="11">
        <v>50000</v>
      </c>
    </row>
    <row r="22" spans="1:6" x14ac:dyDescent="0.3">
      <c r="A22" s="8"/>
      <c r="B22" s="9" t="s">
        <v>78</v>
      </c>
      <c r="C22" s="10"/>
      <c r="D22" s="9"/>
      <c r="E22" s="8"/>
      <c r="F22" s="8"/>
    </row>
    <row r="23" spans="1:6" x14ac:dyDescent="0.3">
      <c r="A23" s="8" t="s">
        <v>82</v>
      </c>
      <c r="B23" s="9" t="s">
        <v>83</v>
      </c>
      <c r="C23" s="10" t="s">
        <v>86</v>
      </c>
      <c r="D23" s="9"/>
      <c r="E23" s="11">
        <v>210000</v>
      </c>
      <c r="F23" s="8"/>
    </row>
    <row r="24" spans="1:6" x14ac:dyDescent="0.3">
      <c r="A24" s="8"/>
      <c r="B24" s="9" t="s">
        <v>84</v>
      </c>
      <c r="C24" s="10"/>
      <c r="D24" s="9"/>
      <c r="E24" s="8"/>
      <c r="F24" s="11">
        <v>210000</v>
      </c>
    </row>
    <row r="25" spans="1:6" x14ac:dyDescent="0.3">
      <c r="A25" s="8"/>
      <c r="B25" s="9" t="s">
        <v>85</v>
      </c>
      <c r="C25" s="10"/>
      <c r="D25" s="9"/>
      <c r="E25" s="8"/>
      <c r="F25" s="8"/>
    </row>
    <row r="26" spans="1:6" x14ac:dyDescent="0.3">
      <c r="A26" s="8" t="s">
        <v>87</v>
      </c>
      <c r="B26" s="9" t="s">
        <v>88</v>
      </c>
      <c r="C26" s="10" t="s">
        <v>79</v>
      </c>
      <c r="D26" s="9"/>
      <c r="E26" s="11">
        <v>90000</v>
      </c>
      <c r="F26" s="8"/>
    </row>
    <row r="27" spans="1:6" x14ac:dyDescent="0.3">
      <c r="A27" s="8"/>
      <c r="B27" s="9" t="s">
        <v>84</v>
      </c>
      <c r="C27" s="10"/>
      <c r="D27" s="9"/>
      <c r="E27" s="8"/>
      <c r="F27" s="11">
        <v>90000</v>
      </c>
    </row>
    <row r="28" spans="1:6" x14ac:dyDescent="0.3">
      <c r="A28" s="8"/>
      <c r="B28" s="9" t="s">
        <v>89</v>
      </c>
      <c r="C28" s="10"/>
      <c r="D28" s="9"/>
      <c r="E28" s="8"/>
      <c r="F28" s="8"/>
    </row>
    <row r="29" spans="1:6" x14ac:dyDescent="0.3">
      <c r="A29" s="8" t="s">
        <v>90</v>
      </c>
      <c r="B29" s="9" t="s">
        <v>91</v>
      </c>
      <c r="C29" s="10" t="s">
        <v>79</v>
      </c>
      <c r="D29" s="9"/>
      <c r="E29" s="11">
        <v>6000</v>
      </c>
      <c r="F29" s="8"/>
    </row>
    <row r="30" spans="1:6" x14ac:dyDescent="0.3">
      <c r="A30" s="8"/>
      <c r="B30" s="9" t="s">
        <v>81</v>
      </c>
      <c r="C30" s="10"/>
      <c r="D30" s="9"/>
      <c r="E30" s="8"/>
      <c r="F30" s="11">
        <v>6000</v>
      </c>
    </row>
    <row r="31" spans="1:6" x14ac:dyDescent="0.3">
      <c r="A31" s="8"/>
      <c r="B31" s="9" t="s">
        <v>92</v>
      </c>
      <c r="C31" s="10"/>
      <c r="D31" s="9"/>
      <c r="E31" s="8"/>
      <c r="F31" s="8"/>
    </row>
    <row r="32" spans="1:6" x14ac:dyDescent="0.3">
      <c r="A32" s="8" t="s">
        <v>93</v>
      </c>
      <c r="B32" s="9" t="s">
        <v>94</v>
      </c>
      <c r="C32" s="10" t="s">
        <v>86</v>
      </c>
      <c r="D32" s="9"/>
      <c r="E32" s="11">
        <v>18000</v>
      </c>
      <c r="F32" s="8"/>
    </row>
    <row r="33" spans="1:6" x14ac:dyDescent="0.3">
      <c r="A33" s="8"/>
      <c r="B33" s="9" t="s">
        <v>81</v>
      </c>
      <c r="C33" s="10"/>
      <c r="D33" s="9"/>
      <c r="E33" s="8"/>
      <c r="F33" s="11">
        <v>18000</v>
      </c>
    </row>
    <row r="34" spans="1:6" x14ac:dyDescent="0.3">
      <c r="A34" s="8"/>
      <c r="B34" s="9" t="s">
        <v>92</v>
      </c>
      <c r="C34" s="10"/>
      <c r="D34" s="9"/>
      <c r="E34" s="8"/>
      <c r="F34" s="8"/>
    </row>
    <row r="35" spans="1:6" x14ac:dyDescent="0.3">
      <c r="A35" s="8" t="s">
        <v>95</v>
      </c>
      <c r="B35" s="9" t="s">
        <v>96</v>
      </c>
      <c r="C35" s="10" t="s">
        <v>79</v>
      </c>
      <c r="D35" s="9"/>
      <c r="E35" s="11">
        <v>15000</v>
      </c>
      <c r="F35" s="8"/>
    </row>
    <row r="36" spans="1:6" x14ac:dyDescent="0.3">
      <c r="A36" s="8"/>
      <c r="B36" s="9" t="s">
        <v>97</v>
      </c>
      <c r="C36" s="10"/>
      <c r="D36" s="9"/>
      <c r="E36" s="8"/>
      <c r="F36" s="11">
        <v>15000</v>
      </c>
    </row>
    <row r="37" spans="1:6" x14ac:dyDescent="0.3">
      <c r="A37" s="8"/>
      <c r="B37" s="9" t="s">
        <v>98</v>
      </c>
      <c r="C37" s="10"/>
      <c r="D37" s="9"/>
      <c r="E37" s="8"/>
      <c r="F37" s="8"/>
    </row>
    <row r="38" spans="1:6" x14ac:dyDescent="0.3">
      <c r="A38" s="8" t="s">
        <v>99</v>
      </c>
      <c r="B38" s="9" t="s">
        <v>100</v>
      </c>
      <c r="C38" s="10" t="s">
        <v>79</v>
      </c>
      <c r="D38" s="9"/>
      <c r="E38" s="11">
        <v>12000</v>
      </c>
      <c r="F38" s="8"/>
    </row>
    <row r="39" spans="1:6" x14ac:dyDescent="0.3">
      <c r="A39" s="8"/>
      <c r="B39" s="9" t="s">
        <v>101</v>
      </c>
      <c r="C39" s="10"/>
      <c r="D39" s="9"/>
      <c r="E39" s="8"/>
      <c r="F39" s="11">
        <v>12000</v>
      </c>
    </row>
    <row r="40" spans="1:6" x14ac:dyDescent="0.3">
      <c r="A40" s="8"/>
      <c r="B40" s="9" t="s">
        <v>98</v>
      </c>
      <c r="C40" s="10"/>
      <c r="D40" s="9"/>
      <c r="E40" s="8"/>
      <c r="F40" s="8"/>
    </row>
    <row r="41" spans="1:6" x14ac:dyDescent="0.3">
      <c r="A41" s="8" t="s">
        <v>102</v>
      </c>
      <c r="B41" s="9" t="s">
        <v>103</v>
      </c>
      <c r="C41" s="10" t="s">
        <v>79</v>
      </c>
      <c r="D41" s="9"/>
      <c r="E41" s="11">
        <v>60000</v>
      </c>
      <c r="F41" s="8"/>
    </row>
    <row r="42" spans="1:6" x14ac:dyDescent="0.3">
      <c r="A42" s="8"/>
      <c r="B42" s="9" t="s">
        <v>104</v>
      </c>
      <c r="C42" s="10"/>
      <c r="D42" s="9"/>
      <c r="E42" s="8"/>
      <c r="F42" s="11">
        <v>60000</v>
      </c>
    </row>
    <row r="43" spans="1:6" x14ac:dyDescent="0.3">
      <c r="A43" s="8"/>
      <c r="B43" s="9" t="s">
        <v>105</v>
      </c>
      <c r="C43" s="10"/>
      <c r="D43" s="9"/>
      <c r="E43" s="8"/>
      <c r="F43" s="8"/>
    </row>
    <row r="44" spans="1:6" x14ac:dyDescent="0.3">
      <c r="A44" s="8" t="s">
        <v>106</v>
      </c>
      <c r="B44" s="9" t="s">
        <v>107</v>
      </c>
      <c r="C44" s="10" t="s">
        <v>79</v>
      </c>
      <c r="D44" s="9"/>
      <c r="E44" s="11">
        <v>28000</v>
      </c>
      <c r="F44" s="8"/>
    </row>
    <row r="45" spans="1:6" x14ac:dyDescent="0.3">
      <c r="A45" s="8"/>
      <c r="B45" s="9" t="s">
        <v>81</v>
      </c>
      <c r="C45" s="10"/>
      <c r="D45" s="9"/>
      <c r="E45" s="8"/>
      <c r="F45" s="11">
        <v>28000</v>
      </c>
    </row>
    <row r="46" spans="1:6" x14ac:dyDescent="0.3">
      <c r="A46" s="8"/>
      <c r="B46" s="9" t="s">
        <v>92</v>
      </c>
      <c r="C46" s="10"/>
      <c r="D46" s="9"/>
      <c r="E46" s="8"/>
      <c r="F46" s="8"/>
    </row>
    <row r="47" spans="1:6" x14ac:dyDescent="0.3">
      <c r="A47" s="12" t="s">
        <v>108</v>
      </c>
      <c r="B47" s="9" t="s">
        <v>88</v>
      </c>
      <c r="C47" s="10" t="s">
        <v>79</v>
      </c>
      <c r="D47" s="9"/>
      <c r="E47" s="11">
        <v>250000</v>
      </c>
      <c r="F47" s="8"/>
    </row>
    <row r="48" spans="1:6" x14ac:dyDescent="0.3">
      <c r="A48" s="8"/>
      <c r="B48" s="9" t="s">
        <v>109</v>
      </c>
      <c r="C48" s="10"/>
      <c r="D48" s="9"/>
      <c r="E48" s="11">
        <v>8000</v>
      </c>
      <c r="F48" s="8"/>
    </row>
    <row r="49" spans="1:6" x14ac:dyDescent="0.3">
      <c r="A49" s="8"/>
      <c r="B49" s="9" t="s">
        <v>101</v>
      </c>
      <c r="C49" s="10"/>
      <c r="D49" s="9"/>
      <c r="E49" s="8"/>
      <c r="F49" s="11">
        <v>258000</v>
      </c>
    </row>
    <row r="50" spans="1:6" x14ac:dyDescent="0.3">
      <c r="A50" s="8"/>
      <c r="B50" s="9" t="s">
        <v>110</v>
      </c>
      <c r="C50" s="10"/>
      <c r="D50" s="9"/>
      <c r="E50" s="8"/>
      <c r="F50" s="8"/>
    </row>
    <row r="51" spans="1:6" x14ac:dyDescent="0.3">
      <c r="A51" s="12" t="s">
        <v>111</v>
      </c>
      <c r="B51" s="9" t="s">
        <v>96</v>
      </c>
      <c r="C51" s="10" t="s">
        <v>79</v>
      </c>
      <c r="D51" s="9"/>
      <c r="E51" s="11">
        <v>190000</v>
      </c>
      <c r="F51" s="8"/>
    </row>
    <row r="52" spans="1:6" x14ac:dyDescent="0.3">
      <c r="A52" s="8"/>
      <c r="B52" s="9" t="s">
        <v>160</v>
      </c>
      <c r="C52" s="10"/>
      <c r="D52" s="9"/>
      <c r="E52" s="8"/>
      <c r="F52" s="11">
        <v>10000</v>
      </c>
    </row>
    <row r="53" spans="1:6" x14ac:dyDescent="0.3">
      <c r="A53" s="8"/>
      <c r="B53" s="9" t="s">
        <v>161</v>
      </c>
      <c r="C53" s="10"/>
      <c r="D53" s="9"/>
      <c r="E53" s="8"/>
      <c r="F53" s="11">
        <v>180000</v>
      </c>
    </row>
    <row r="54" spans="1:6" x14ac:dyDescent="0.3">
      <c r="A54" s="8"/>
      <c r="B54" s="9" t="s">
        <v>113</v>
      </c>
      <c r="C54" s="10"/>
      <c r="D54" s="9"/>
      <c r="E54" s="8"/>
      <c r="F54" s="8"/>
    </row>
    <row r="55" spans="1:6" x14ac:dyDescent="0.3">
      <c r="A55" s="8" t="s">
        <v>114</v>
      </c>
      <c r="B55" s="9" t="s">
        <v>115</v>
      </c>
      <c r="C55" s="10" t="s">
        <v>79</v>
      </c>
      <c r="D55" s="9"/>
      <c r="E55" s="11">
        <v>22000</v>
      </c>
      <c r="F55" s="8"/>
    </row>
    <row r="56" spans="1:6" x14ac:dyDescent="0.3">
      <c r="A56" s="8"/>
      <c r="B56" s="9" t="s">
        <v>81</v>
      </c>
      <c r="C56" s="10"/>
      <c r="D56" s="9"/>
      <c r="E56" s="8"/>
      <c r="F56" s="11">
        <v>22000</v>
      </c>
    </row>
    <row r="57" spans="1:6" x14ac:dyDescent="0.3">
      <c r="A57" s="8"/>
      <c r="B57" s="9" t="s">
        <v>116</v>
      </c>
      <c r="C57" s="10"/>
      <c r="D57" s="9"/>
      <c r="E57" s="8"/>
      <c r="F57" s="8"/>
    </row>
    <row r="58" spans="1:6" x14ac:dyDescent="0.3">
      <c r="A58" s="8" t="s">
        <v>117</v>
      </c>
      <c r="B58" s="9" t="s">
        <v>76</v>
      </c>
      <c r="C58" s="10" t="s">
        <v>79</v>
      </c>
      <c r="D58" s="9"/>
      <c r="E58" s="11">
        <v>95000</v>
      </c>
      <c r="F58" s="8"/>
    </row>
    <row r="59" spans="1:6" x14ac:dyDescent="0.3">
      <c r="A59" s="8"/>
      <c r="B59" s="9" t="s">
        <v>118</v>
      </c>
      <c r="C59" s="10"/>
      <c r="D59" s="9"/>
      <c r="E59" s="8"/>
      <c r="F59" s="11">
        <v>95000</v>
      </c>
    </row>
    <row r="60" spans="1:6" x14ac:dyDescent="0.3">
      <c r="A60" s="8"/>
      <c r="B60" s="9" t="s">
        <v>78</v>
      </c>
      <c r="C60" s="10"/>
      <c r="D60" s="9"/>
      <c r="E60" s="8"/>
      <c r="F60" s="8"/>
    </row>
    <row r="61" spans="1:6" x14ac:dyDescent="0.3">
      <c r="A61" s="8" t="s">
        <v>119</v>
      </c>
      <c r="B61" s="9" t="s">
        <v>120</v>
      </c>
      <c r="C61" s="10" t="s">
        <v>79</v>
      </c>
      <c r="D61" s="9"/>
      <c r="E61" s="11">
        <v>140000</v>
      </c>
      <c r="F61" s="8"/>
    </row>
    <row r="62" spans="1:6" x14ac:dyDescent="0.3">
      <c r="A62" s="8"/>
      <c r="B62" s="9" t="s">
        <v>84</v>
      </c>
      <c r="C62" s="10"/>
      <c r="D62" s="9"/>
      <c r="E62" s="8"/>
      <c r="F62" s="11">
        <v>140000</v>
      </c>
    </row>
    <row r="63" spans="1:6" x14ac:dyDescent="0.3">
      <c r="A63" s="8"/>
      <c r="B63" s="9" t="s">
        <v>85</v>
      </c>
      <c r="C63" s="10"/>
      <c r="D63" s="9"/>
      <c r="E63" s="8"/>
      <c r="F63" s="8"/>
    </row>
    <row r="64" spans="1:6" x14ac:dyDescent="0.3">
      <c r="A64" s="8" t="s">
        <v>121</v>
      </c>
      <c r="B64" s="9" t="s">
        <v>122</v>
      </c>
      <c r="C64" s="10" t="s">
        <v>79</v>
      </c>
      <c r="D64" s="9"/>
      <c r="E64" s="11">
        <v>125000</v>
      </c>
      <c r="F64" s="8"/>
    </row>
    <row r="65" spans="1:6" x14ac:dyDescent="0.3">
      <c r="A65" s="8"/>
      <c r="B65" s="9" t="s">
        <v>123</v>
      </c>
      <c r="C65" s="10"/>
      <c r="D65" s="9"/>
      <c r="E65" s="8"/>
      <c r="F65" s="11">
        <v>125000</v>
      </c>
    </row>
    <row r="66" spans="1:6" x14ac:dyDescent="0.3">
      <c r="A66" s="8"/>
      <c r="B66" s="9" t="s">
        <v>124</v>
      </c>
      <c r="C66" s="10"/>
      <c r="D66" s="9"/>
      <c r="E66" s="8"/>
      <c r="F66" s="8"/>
    </row>
    <row r="67" spans="1:6" x14ac:dyDescent="0.3">
      <c r="A67" s="8" t="s">
        <v>125</v>
      </c>
      <c r="B67" s="9" t="s">
        <v>126</v>
      </c>
      <c r="C67" s="10" t="s">
        <v>79</v>
      </c>
      <c r="D67" s="9"/>
      <c r="E67" s="11">
        <v>7000</v>
      </c>
      <c r="F67" s="8"/>
    </row>
    <row r="68" spans="1:6" x14ac:dyDescent="0.3">
      <c r="A68" s="8"/>
      <c r="B68" s="9" t="s">
        <v>81</v>
      </c>
      <c r="C68" s="10"/>
      <c r="D68" s="9"/>
      <c r="E68" s="8"/>
      <c r="F68" s="11">
        <v>7000</v>
      </c>
    </row>
    <row r="69" spans="1:6" x14ac:dyDescent="0.3">
      <c r="A69" s="8"/>
      <c r="B69" s="9" t="s">
        <v>127</v>
      </c>
      <c r="C69" s="10"/>
      <c r="D69" s="9"/>
      <c r="E69" s="8"/>
      <c r="F69" s="8"/>
    </row>
    <row r="70" spans="1:6" x14ac:dyDescent="0.3">
      <c r="A70" s="12" t="s">
        <v>128</v>
      </c>
      <c r="B70" s="9" t="s">
        <v>88</v>
      </c>
      <c r="C70" s="10" t="s">
        <v>79</v>
      </c>
      <c r="D70" s="9"/>
      <c r="E70" s="11">
        <v>11000</v>
      </c>
      <c r="F70" s="8"/>
    </row>
    <row r="71" spans="1:6" x14ac:dyDescent="0.3">
      <c r="A71" s="8"/>
      <c r="B71" s="9" t="s">
        <v>129</v>
      </c>
      <c r="C71" s="10"/>
      <c r="D71" s="9"/>
      <c r="E71" s="8"/>
      <c r="F71" s="11">
        <v>11000</v>
      </c>
    </row>
    <row r="72" spans="1:6" x14ac:dyDescent="0.3">
      <c r="A72" s="8"/>
      <c r="B72" s="9" t="s">
        <v>130</v>
      </c>
      <c r="C72" s="10"/>
      <c r="D72" s="9"/>
      <c r="E72" s="8"/>
      <c r="F72" s="8"/>
    </row>
    <row r="73" spans="1:6" x14ac:dyDescent="0.3">
      <c r="A73" s="8" t="s">
        <v>131</v>
      </c>
      <c r="B73" s="9" t="s">
        <v>88</v>
      </c>
      <c r="C73" s="10" t="s">
        <v>79</v>
      </c>
      <c r="D73" s="9"/>
      <c r="E73" s="11">
        <v>25000</v>
      </c>
      <c r="F73" s="8"/>
    </row>
    <row r="74" spans="1:6" x14ac:dyDescent="0.3">
      <c r="A74" s="8"/>
      <c r="B74" s="9" t="s">
        <v>104</v>
      </c>
      <c r="C74" s="10"/>
      <c r="D74" s="9"/>
      <c r="E74" s="8"/>
      <c r="F74" s="11">
        <v>25000</v>
      </c>
    </row>
    <row r="75" spans="1:6" x14ac:dyDescent="0.3">
      <c r="A75" s="8"/>
      <c r="B75" s="9" t="s">
        <v>132</v>
      </c>
      <c r="C75" s="10"/>
      <c r="D75" s="9"/>
      <c r="E75" s="8"/>
      <c r="F75" s="8"/>
    </row>
    <row r="76" spans="1:6" x14ac:dyDescent="0.3">
      <c r="A76" s="8" t="s">
        <v>133</v>
      </c>
      <c r="B76" s="9" t="s">
        <v>134</v>
      </c>
      <c r="C76" s="10" t="s">
        <v>79</v>
      </c>
      <c r="D76" s="9"/>
      <c r="E76" s="11">
        <v>15000</v>
      </c>
      <c r="F76" s="8"/>
    </row>
    <row r="77" spans="1:6" x14ac:dyDescent="0.3">
      <c r="A77" s="8"/>
      <c r="B77" s="9" t="s">
        <v>81</v>
      </c>
      <c r="C77" s="10"/>
      <c r="D77" s="9"/>
      <c r="E77" s="8"/>
      <c r="F77" s="11">
        <v>15000</v>
      </c>
    </row>
    <row r="78" spans="1:6" x14ac:dyDescent="0.3">
      <c r="A78" s="8"/>
      <c r="B78" s="9" t="s">
        <v>135</v>
      </c>
      <c r="C78" s="10"/>
      <c r="D78" s="9"/>
      <c r="E78" s="8"/>
      <c r="F78" s="8"/>
    </row>
    <row r="79" spans="1:6" x14ac:dyDescent="0.3">
      <c r="A79" s="8" t="s">
        <v>136</v>
      </c>
      <c r="B79" s="9" t="s">
        <v>137</v>
      </c>
      <c r="C79" s="10" t="s">
        <v>79</v>
      </c>
      <c r="D79" s="9"/>
      <c r="E79" s="11">
        <v>8000</v>
      </c>
      <c r="F79" s="8"/>
    </row>
    <row r="80" spans="1:6" x14ac:dyDescent="0.3">
      <c r="A80" s="8"/>
      <c r="B80" s="9" t="s">
        <v>104</v>
      </c>
      <c r="C80" s="10"/>
      <c r="D80" s="9"/>
      <c r="E80" s="8"/>
      <c r="F80" s="11">
        <v>8000</v>
      </c>
    </row>
    <row r="81" spans="1:6" x14ac:dyDescent="0.3">
      <c r="A81" s="8"/>
      <c r="B81" s="9" t="s">
        <v>138</v>
      </c>
      <c r="C81" s="10"/>
      <c r="D81" s="9"/>
      <c r="E81" s="8"/>
      <c r="F81" s="8"/>
    </row>
    <row r="82" spans="1:6" x14ac:dyDescent="0.3">
      <c r="A82" s="8" t="s">
        <v>139</v>
      </c>
      <c r="B82" s="9" t="s">
        <v>140</v>
      </c>
      <c r="C82" s="10" t="s">
        <v>79</v>
      </c>
      <c r="D82" s="9"/>
      <c r="E82" s="11">
        <v>5000</v>
      </c>
      <c r="F82" s="8"/>
    </row>
    <row r="83" spans="1:6" x14ac:dyDescent="0.3">
      <c r="A83" s="8"/>
      <c r="B83" s="9" t="s">
        <v>81</v>
      </c>
      <c r="C83" s="10"/>
      <c r="D83" s="9"/>
      <c r="E83" s="8"/>
      <c r="F83" s="11">
        <v>5000</v>
      </c>
    </row>
    <row r="84" spans="1:6" x14ac:dyDescent="0.3">
      <c r="A84" s="8"/>
      <c r="B84" s="9" t="s">
        <v>92</v>
      </c>
      <c r="C84" s="10"/>
      <c r="D84" s="9"/>
      <c r="E84" s="8"/>
      <c r="F84" s="8"/>
    </row>
    <row r="85" spans="1:6" x14ac:dyDescent="0.3">
      <c r="A85" s="8" t="s">
        <v>141</v>
      </c>
      <c r="B85" s="9" t="s">
        <v>122</v>
      </c>
      <c r="C85" s="10" t="s">
        <v>79</v>
      </c>
      <c r="D85" s="9"/>
      <c r="E85" s="11">
        <v>4000</v>
      </c>
      <c r="F85" s="8"/>
    </row>
    <row r="86" spans="1:6" x14ac:dyDescent="0.3">
      <c r="A86" s="8"/>
      <c r="B86" s="9" t="s">
        <v>142</v>
      </c>
      <c r="C86" s="10"/>
      <c r="D86" s="9"/>
      <c r="E86" s="8"/>
      <c r="F86" s="11">
        <v>4000</v>
      </c>
    </row>
    <row r="87" spans="1:6" x14ac:dyDescent="0.3">
      <c r="A87" s="8"/>
      <c r="B87" s="9" t="s">
        <v>143</v>
      </c>
      <c r="C87" s="10"/>
      <c r="D87" s="9"/>
      <c r="E87" s="8"/>
      <c r="F87" s="8"/>
    </row>
    <row r="88" spans="1:6" x14ac:dyDescent="0.3">
      <c r="A88" s="8" t="s">
        <v>144</v>
      </c>
      <c r="B88" s="9" t="s">
        <v>76</v>
      </c>
      <c r="C88" s="10" t="s">
        <v>79</v>
      </c>
      <c r="D88" s="9"/>
      <c r="E88" s="11">
        <v>35000</v>
      </c>
      <c r="F88" s="8"/>
    </row>
    <row r="89" spans="1:6" x14ac:dyDescent="0.3">
      <c r="A89" s="8"/>
      <c r="B89" s="9" t="s">
        <v>81</v>
      </c>
      <c r="C89" s="10"/>
      <c r="D89" s="9"/>
      <c r="E89" s="8"/>
      <c r="F89" s="11">
        <v>35000</v>
      </c>
    </row>
    <row r="90" spans="1:6" x14ac:dyDescent="0.3">
      <c r="A90" s="8"/>
      <c r="B90" s="9" t="s">
        <v>78</v>
      </c>
      <c r="C90" s="10"/>
      <c r="D90" s="9"/>
      <c r="E90" s="8"/>
      <c r="F90" s="8"/>
    </row>
    <row r="91" spans="1:6" x14ac:dyDescent="0.3">
      <c r="A91" s="8" t="s">
        <v>145</v>
      </c>
      <c r="B91" s="9" t="s">
        <v>146</v>
      </c>
      <c r="C91" s="10" t="s">
        <v>79</v>
      </c>
      <c r="D91" s="9"/>
      <c r="E91" s="11">
        <v>10000</v>
      </c>
      <c r="F91" s="8"/>
    </row>
    <row r="92" spans="1:6" x14ac:dyDescent="0.3">
      <c r="A92" s="8"/>
      <c r="B92" s="9" t="s">
        <v>81</v>
      </c>
      <c r="C92" s="10"/>
      <c r="D92" s="9"/>
      <c r="E92" s="8"/>
      <c r="F92" s="11">
        <v>10000</v>
      </c>
    </row>
    <row r="93" spans="1:6" x14ac:dyDescent="0.3">
      <c r="A93" s="8"/>
      <c r="B93" s="9" t="s">
        <v>127</v>
      </c>
      <c r="C93" s="10"/>
      <c r="D93" s="9"/>
      <c r="E93" s="8"/>
      <c r="F93" s="8"/>
    </row>
    <row r="94" spans="1:6" x14ac:dyDescent="0.3">
      <c r="A94" s="8" t="s">
        <v>147</v>
      </c>
      <c r="B94" s="9" t="s">
        <v>148</v>
      </c>
      <c r="C94" s="10" t="s">
        <v>79</v>
      </c>
      <c r="D94" s="9"/>
      <c r="E94" s="11">
        <v>3500</v>
      </c>
      <c r="F94" s="8"/>
    </row>
    <row r="95" spans="1:6" x14ac:dyDescent="0.3">
      <c r="A95" s="8"/>
      <c r="B95" s="9" t="s">
        <v>81</v>
      </c>
      <c r="C95" s="10"/>
      <c r="D95" s="9"/>
      <c r="E95" s="8"/>
      <c r="F95" s="11">
        <v>3500</v>
      </c>
    </row>
    <row r="96" spans="1:6" x14ac:dyDescent="0.3">
      <c r="A96" s="8"/>
      <c r="B96" s="9" t="s">
        <v>149</v>
      </c>
      <c r="C96" s="10"/>
      <c r="D96" s="9"/>
      <c r="E96" s="8"/>
      <c r="F96" s="8"/>
    </row>
    <row r="97" spans="1:6" x14ac:dyDescent="0.3">
      <c r="A97" s="8" t="s">
        <v>150</v>
      </c>
      <c r="B97" s="9" t="s">
        <v>151</v>
      </c>
      <c r="C97" s="10" t="s">
        <v>79</v>
      </c>
      <c r="D97" s="9"/>
      <c r="E97" s="11">
        <v>30000</v>
      </c>
      <c r="F97" s="8"/>
    </row>
    <row r="98" spans="1:6" x14ac:dyDescent="0.3">
      <c r="A98" s="8"/>
      <c r="B98" s="9" t="s">
        <v>81</v>
      </c>
      <c r="C98" s="10"/>
      <c r="D98" s="9"/>
      <c r="E98" s="8"/>
      <c r="F98" s="11">
        <v>30000</v>
      </c>
    </row>
    <row r="99" spans="1:6" x14ac:dyDescent="0.3">
      <c r="A99" s="8"/>
      <c r="B99" s="9" t="s">
        <v>152</v>
      </c>
      <c r="C99" s="10"/>
      <c r="D99" s="9"/>
      <c r="E99" s="8"/>
      <c r="F99" s="8"/>
    </row>
    <row r="100" spans="1:6" x14ac:dyDescent="0.3">
      <c r="A100" s="8" t="s">
        <v>153</v>
      </c>
      <c r="B100" s="9" t="s">
        <v>154</v>
      </c>
      <c r="C100" s="10" t="s">
        <v>79</v>
      </c>
      <c r="D100" s="9"/>
      <c r="E100" s="11">
        <v>7000</v>
      </c>
      <c r="F100" s="8"/>
    </row>
    <row r="101" spans="1:6" x14ac:dyDescent="0.3">
      <c r="A101" s="8"/>
      <c r="B101" s="9" t="s">
        <v>81</v>
      </c>
      <c r="C101" s="10"/>
      <c r="D101" s="9"/>
      <c r="E101" s="8"/>
      <c r="F101" s="11">
        <v>7000</v>
      </c>
    </row>
    <row r="102" spans="1:6" x14ac:dyDescent="0.3">
      <c r="A102" s="8"/>
      <c r="B102" s="9" t="s">
        <v>155</v>
      </c>
      <c r="C102" s="10"/>
      <c r="D102" s="9"/>
      <c r="E102" s="8"/>
      <c r="F102" s="8"/>
    </row>
    <row r="103" spans="1:6" x14ac:dyDescent="0.3">
      <c r="A103" s="8" t="s">
        <v>156</v>
      </c>
      <c r="B103" s="9" t="s">
        <v>122</v>
      </c>
      <c r="C103" s="10" t="s">
        <v>79</v>
      </c>
      <c r="D103" s="9"/>
      <c r="E103" s="11">
        <v>50000</v>
      </c>
      <c r="F103" s="8"/>
    </row>
    <row r="104" spans="1:6" x14ac:dyDescent="0.3">
      <c r="A104" s="8"/>
      <c r="B104" s="9" t="s">
        <v>81</v>
      </c>
      <c r="C104" s="10"/>
      <c r="D104" s="9"/>
      <c r="E104" s="8"/>
      <c r="F104" s="11">
        <v>50000</v>
      </c>
    </row>
    <row r="105" spans="1:6" x14ac:dyDescent="0.3">
      <c r="A105" s="8"/>
      <c r="B105" s="9" t="s">
        <v>157</v>
      </c>
      <c r="C105" s="10"/>
      <c r="D105" s="9"/>
      <c r="E105" s="8"/>
      <c r="F105" s="8"/>
    </row>
  </sheetData>
  <mergeCells count="1">
    <mergeCell ref="A1:F1"/>
  </mergeCells>
  <phoneticPr fontId="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A3A58-F5EA-4077-92B8-C40F17BECE46}">
  <dimension ref="A1:H232"/>
  <sheetViews>
    <sheetView topLeftCell="A192" zoomScale="69" workbookViewId="0">
      <selection activeCell="D210" sqref="D210:E210"/>
    </sheetView>
  </sheetViews>
  <sheetFormatPr defaultRowHeight="14.4" x14ac:dyDescent="0.3"/>
  <cols>
    <col min="1" max="1" width="16.21875" style="6" customWidth="1"/>
    <col min="2" max="2" width="31.5546875" customWidth="1"/>
    <col min="3" max="3" width="14.5546875" style="6" customWidth="1"/>
    <col min="4" max="4" width="15.44140625" style="6" customWidth="1"/>
    <col min="5" max="5" width="19.33203125" style="6" customWidth="1"/>
    <col min="6" max="6" width="39.109375" customWidth="1"/>
    <col min="7" max="7" width="16.109375" customWidth="1"/>
    <col min="8" max="8" width="17.109375" style="6" customWidth="1"/>
  </cols>
  <sheetData>
    <row r="1" spans="1:8" ht="18" x14ac:dyDescent="0.35">
      <c r="A1" s="59" t="s">
        <v>223</v>
      </c>
      <c r="B1" s="59"/>
      <c r="C1" s="59"/>
      <c r="D1" s="59"/>
      <c r="E1" s="59"/>
      <c r="F1" s="59"/>
      <c r="G1" s="59"/>
      <c r="H1" s="59"/>
    </row>
    <row r="3" spans="1:8" x14ac:dyDescent="0.3">
      <c r="A3" s="14" t="s">
        <v>79</v>
      </c>
      <c r="D3" s="73" t="s">
        <v>188</v>
      </c>
      <c r="E3" s="73"/>
      <c r="H3" s="13" t="s">
        <v>159</v>
      </c>
    </row>
    <row r="4" spans="1:8" x14ac:dyDescent="0.3">
      <c r="A4" s="7" t="s">
        <v>32</v>
      </c>
      <c r="B4" s="7" t="s">
        <v>18</v>
      </c>
      <c r="C4" s="7" t="s">
        <v>158</v>
      </c>
      <c r="D4" s="7" t="s">
        <v>158</v>
      </c>
      <c r="E4" s="7" t="s">
        <v>32</v>
      </c>
      <c r="F4" s="7" t="s">
        <v>18</v>
      </c>
      <c r="G4" s="7" t="s">
        <v>158</v>
      </c>
      <c r="H4" s="7" t="s">
        <v>158</v>
      </c>
    </row>
    <row r="5" spans="1:8" x14ac:dyDescent="0.3">
      <c r="A5" s="8" t="s">
        <v>179</v>
      </c>
      <c r="B5" s="9" t="s">
        <v>77</v>
      </c>
      <c r="C5" s="8"/>
      <c r="D5" s="11">
        <v>90000</v>
      </c>
      <c r="E5" s="8" t="s">
        <v>179</v>
      </c>
      <c r="F5" s="9" t="s">
        <v>189</v>
      </c>
      <c r="G5" s="9"/>
      <c r="H5" s="11">
        <v>55000</v>
      </c>
    </row>
    <row r="6" spans="1:8" x14ac:dyDescent="0.3">
      <c r="A6" s="8" t="s">
        <v>179</v>
      </c>
      <c r="B6" s="9" t="s">
        <v>118</v>
      </c>
      <c r="C6" s="8"/>
      <c r="D6" s="11">
        <v>55000</v>
      </c>
      <c r="E6" s="8" t="s">
        <v>179</v>
      </c>
      <c r="F6" s="9" t="s">
        <v>112</v>
      </c>
      <c r="G6" s="9"/>
      <c r="H6" s="11">
        <v>150000</v>
      </c>
    </row>
    <row r="7" spans="1:8" x14ac:dyDescent="0.3">
      <c r="A7" s="8" t="s">
        <v>179</v>
      </c>
      <c r="B7" s="9" t="s">
        <v>186</v>
      </c>
      <c r="C7" s="8"/>
      <c r="D7" s="11">
        <v>150000</v>
      </c>
      <c r="E7" s="8" t="s">
        <v>179</v>
      </c>
      <c r="F7" s="9" t="s">
        <v>190</v>
      </c>
      <c r="G7" s="9"/>
      <c r="H7" s="11">
        <v>120000</v>
      </c>
    </row>
    <row r="8" spans="1:8" x14ac:dyDescent="0.3">
      <c r="A8" s="8" t="s">
        <v>156</v>
      </c>
      <c r="B8" s="9" t="s">
        <v>199</v>
      </c>
      <c r="C8" s="8"/>
      <c r="D8" s="11">
        <v>905000</v>
      </c>
      <c r="E8" s="8" t="s">
        <v>179</v>
      </c>
      <c r="F8" s="9" t="s">
        <v>191</v>
      </c>
      <c r="G8" s="9"/>
      <c r="H8" s="11">
        <v>80000</v>
      </c>
    </row>
    <row r="9" spans="1:8" x14ac:dyDescent="0.3">
      <c r="A9" s="8"/>
      <c r="B9" s="9"/>
      <c r="C9" s="8"/>
      <c r="D9" s="8"/>
      <c r="E9" s="8" t="s">
        <v>179</v>
      </c>
      <c r="F9" s="9" t="s">
        <v>192</v>
      </c>
      <c r="G9" s="9"/>
      <c r="H9" s="11">
        <v>400000</v>
      </c>
    </row>
    <row r="10" spans="1:8" x14ac:dyDescent="0.3">
      <c r="A10" s="8"/>
      <c r="B10" s="9"/>
      <c r="C10" s="8"/>
      <c r="D10" s="8"/>
      <c r="E10" s="8" t="s">
        <v>179</v>
      </c>
      <c r="F10" s="9" t="s">
        <v>193</v>
      </c>
      <c r="G10" s="19"/>
      <c r="H10" s="11">
        <v>250000</v>
      </c>
    </row>
    <row r="11" spans="1:8" x14ac:dyDescent="0.3">
      <c r="A11" s="8"/>
      <c r="B11" s="9"/>
      <c r="C11" s="8"/>
      <c r="D11" s="8"/>
      <c r="E11" s="8" t="s">
        <v>179</v>
      </c>
      <c r="F11" s="9" t="s">
        <v>194</v>
      </c>
      <c r="G11" s="9"/>
      <c r="H11" s="11">
        <v>85000</v>
      </c>
    </row>
    <row r="12" spans="1:8" x14ac:dyDescent="0.3">
      <c r="A12" s="8"/>
      <c r="B12" s="9"/>
      <c r="C12" s="8"/>
      <c r="D12" s="8"/>
      <c r="E12" s="8" t="s">
        <v>179</v>
      </c>
      <c r="F12" s="9" t="s">
        <v>195</v>
      </c>
      <c r="G12" s="9"/>
      <c r="H12" s="11">
        <v>60000</v>
      </c>
    </row>
    <row r="13" spans="1:8" x14ac:dyDescent="0.3">
      <c r="A13" s="8"/>
      <c r="B13" s="9"/>
      <c r="C13" s="8"/>
      <c r="D13" s="16">
        <f>H13</f>
        <v>1200000</v>
      </c>
      <c r="E13" s="8"/>
      <c r="F13" s="9"/>
      <c r="G13" s="9"/>
      <c r="H13" s="16">
        <f>SUM(H5:H12)</f>
        <v>1200000</v>
      </c>
    </row>
    <row r="14" spans="1:8" x14ac:dyDescent="0.3">
      <c r="A14" s="8"/>
      <c r="B14" s="9"/>
      <c r="C14" s="8"/>
      <c r="D14" s="8"/>
      <c r="E14" s="8" t="s">
        <v>164</v>
      </c>
      <c r="F14" s="9" t="s">
        <v>200</v>
      </c>
      <c r="G14" s="9"/>
      <c r="H14" s="11">
        <v>905000</v>
      </c>
    </row>
    <row r="16" spans="1:8" s="5" customFormat="1" x14ac:dyDescent="0.3">
      <c r="A16" s="14" t="s">
        <v>79</v>
      </c>
      <c r="B16"/>
      <c r="C16" s="6"/>
      <c r="D16" s="73" t="s">
        <v>76</v>
      </c>
      <c r="E16" s="73"/>
      <c r="F16"/>
      <c r="G16"/>
      <c r="H16" s="13" t="s">
        <v>159</v>
      </c>
    </row>
    <row r="17" spans="1:8" x14ac:dyDescent="0.3">
      <c r="A17" s="7" t="s">
        <v>32</v>
      </c>
      <c r="B17" s="7" t="s">
        <v>18</v>
      </c>
      <c r="C17" s="7" t="s">
        <v>158</v>
      </c>
      <c r="D17" s="7" t="s">
        <v>158</v>
      </c>
      <c r="E17" s="7" t="s">
        <v>32</v>
      </c>
      <c r="F17" s="7" t="s">
        <v>18</v>
      </c>
      <c r="G17" s="7" t="s">
        <v>158</v>
      </c>
      <c r="H17" s="7" t="s">
        <v>158</v>
      </c>
    </row>
    <row r="18" spans="1:8" x14ac:dyDescent="0.3">
      <c r="A18" s="8" t="s">
        <v>75</v>
      </c>
      <c r="B18" s="9" t="s">
        <v>77</v>
      </c>
      <c r="C18" s="8"/>
      <c r="D18" s="11">
        <v>140000</v>
      </c>
      <c r="E18" s="8" t="s">
        <v>156</v>
      </c>
      <c r="F18" s="15" t="s">
        <v>163</v>
      </c>
      <c r="G18" s="9"/>
      <c r="H18" s="11">
        <v>320000</v>
      </c>
    </row>
    <row r="19" spans="1:8" x14ac:dyDescent="0.3">
      <c r="A19" s="8" t="s">
        <v>80</v>
      </c>
      <c r="B19" s="9" t="s">
        <v>81</v>
      </c>
      <c r="C19" s="8"/>
      <c r="D19" s="11">
        <v>50000</v>
      </c>
      <c r="E19" s="8"/>
      <c r="F19" s="9"/>
      <c r="G19" s="9"/>
      <c r="H19" s="8"/>
    </row>
    <row r="20" spans="1:8" x14ac:dyDescent="0.3">
      <c r="A20" s="8" t="s">
        <v>117</v>
      </c>
      <c r="B20" s="9" t="s">
        <v>118</v>
      </c>
      <c r="C20" s="8"/>
      <c r="D20" s="11">
        <v>95000</v>
      </c>
      <c r="E20" s="8"/>
      <c r="F20" s="9"/>
      <c r="G20" s="9"/>
      <c r="H20" s="8"/>
    </row>
    <row r="21" spans="1:8" x14ac:dyDescent="0.3">
      <c r="A21" s="8" t="s">
        <v>144</v>
      </c>
      <c r="B21" s="9" t="s">
        <v>81</v>
      </c>
      <c r="C21" s="8"/>
      <c r="D21" s="11">
        <v>35000</v>
      </c>
      <c r="E21" s="8"/>
      <c r="F21" s="9"/>
      <c r="G21" s="9"/>
      <c r="H21" s="8"/>
    </row>
    <row r="22" spans="1:8" x14ac:dyDescent="0.3">
      <c r="A22" s="8"/>
      <c r="B22" s="9"/>
      <c r="C22" s="8"/>
      <c r="D22" s="16">
        <f>SUM(D18:D21)</f>
        <v>320000</v>
      </c>
      <c r="E22" s="8"/>
      <c r="F22" s="9"/>
      <c r="G22" s="9"/>
      <c r="H22" s="16">
        <f>D22</f>
        <v>320000</v>
      </c>
    </row>
    <row r="23" spans="1:8" x14ac:dyDescent="0.3">
      <c r="A23" s="8" t="s">
        <v>164</v>
      </c>
      <c r="B23" s="9" t="s">
        <v>165</v>
      </c>
      <c r="C23" s="8"/>
      <c r="D23" s="16">
        <v>320000</v>
      </c>
      <c r="E23" s="8"/>
      <c r="F23" s="9"/>
      <c r="G23" s="9"/>
      <c r="H23" s="8"/>
    </row>
    <row r="25" spans="1:8" x14ac:dyDescent="0.3">
      <c r="A25" s="14" t="s">
        <v>79</v>
      </c>
      <c r="D25" s="73" t="s">
        <v>96</v>
      </c>
      <c r="E25" s="73"/>
      <c r="H25" s="13" t="s">
        <v>159</v>
      </c>
    </row>
    <row r="26" spans="1:8" x14ac:dyDescent="0.3">
      <c r="A26" s="7" t="s">
        <v>32</v>
      </c>
      <c r="B26" s="7" t="s">
        <v>18</v>
      </c>
      <c r="C26" s="7" t="s">
        <v>158</v>
      </c>
      <c r="D26" s="7" t="s">
        <v>158</v>
      </c>
      <c r="E26" s="7" t="s">
        <v>32</v>
      </c>
      <c r="F26" s="7" t="s">
        <v>18</v>
      </c>
      <c r="G26" s="7" t="s">
        <v>158</v>
      </c>
      <c r="H26" s="7" t="s">
        <v>158</v>
      </c>
    </row>
    <row r="27" spans="1:8" x14ac:dyDescent="0.3">
      <c r="A27" s="8" t="s">
        <v>95</v>
      </c>
      <c r="B27" s="9" t="s">
        <v>97</v>
      </c>
      <c r="C27" s="8"/>
      <c r="D27" s="11">
        <v>15000</v>
      </c>
      <c r="E27" s="8" t="s">
        <v>211</v>
      </c>
      <c r="F27" s="15" t="s">
        <v>200</v>
      </c>
      <c r="G27" s="9"/>
      <c r="H27" s="11">
        <v>90000</v>
      </c>
    </row>
    <row r="28" spans="1:8" x14ac:dyDescent="0.3">
      <c r="A28" s="12" t="s">
        <v>111</v>
      </c>
      <c r="B28" s="9" t="s">
        <v>160</v>
      </c>
      <c r="C28" s="8"/>
      <c r="D28" s="11">
        <v>10000</v>
      </c>
      <c r="E28" s="8" t="s">
        <v>75</v>
      </c>
      <c r="F28" s="9" t="s">
        <v>166</v>
      </c>
      <c r="G28" s="9"/>
      <c r="H28" s="11">
        <v>140000</v>
      </c>
    </row>
    <row r="29" spans="1:8" x14ac:dyDescent="0.3">
      <c r="A29" s="12" t="s">
        <v>111</v>
      </c>
      <c r="B29" s="9" t="s">
        <v>161</v>
      </c>
      <c r="C29" s="8"/>
      <c r="D29" s="11">
        <v>180000</v>
      </c>
      <c r="E29" s="8"/>
      <c r="F29" s="15"/>
      <c r="G29" s="9"/>
      <c r="H29" s="11"/>
    </row>
    <row r="30" spans="1:8" x14ac:dyDescent="0.3">
      <c r="A30" s="12" t="s">
        <v>156</v>
      </c>
      <c r="B30" s="9" t="s">
        <v>199</v>
      </c>
      <c r="C30" s="8"/>
      <c r="D30" s="11">
        <v>25000</v>
      </c>
      <c r="E30" s="8"/>
      <c r="F30" s="9"/>
      <c r="G30" s="9"/>
      <c r="H30" s="8"/>
    </row>
    <row r="31" spans="1:8" x14ac:dyDescent="0.3">
      <c r="A31" s="8"/>
      <c r="B31" s="9"/>
      <c r="C31" s="8"/>
      <c r="D31" s="16">
        <f>H31</f>
        <v>230000</v>
      </c>
      <c r="E31" s="8"/>
      <c r="F31" s="9"/>
      <c r="G31" s="9"/>
      <c r="H31" s="16">
        <f>SUM(H27:H28)</f>
        <v>230000</v>
      </c>
    </row>
    <row r="32" spans="1:8" x14ac:dyDescent="0.3">
      <c r="A32" s="8"/>
      <c r="B32" s="9"/>
      <c r="C32" s="8"/>
      <c r="D32" s="11"/>
      <c r="E32" s="8" t="s">
        <v>164</v>
      </c>
      <c r="F32" s="9" t="s">
        <v>200</v>
      </c>
      <c r="G32" s="9"/>
      <c r="H32" s="11">
        <v>25000</v>
      </c>
    </row>
    <row r="34" spans="1:8" x14ac:dyDescent="0.3">
      <c r="A34" s="14" t="s">
        <v>79</v>
      </c>
      <c r="D34" s="73" t="s">
        <v>167</v>
      </c>
      <c r="E34" s="73"/>
      <c r="H34" s="13" t="s">
        <v>159</v>
      </c>
    </row>
    <row r="35" spans="1:8" x14ac:dyDescent="0.3">
      <c r="A35" s="7" t="s">
        <v>32</v>
      </c>
      <c r="B35" s="7" t="s">
        <v>18</v>
      </c>
      <c r="C35" s="7" t="s">
        <v>158</v>
      </c>
      <c r="D35" s="7" t="s">
        <v>158</v>
      </c>
      <c r="E35" s="7" t="s">
        <v>32</v>
      </c>
      <c r="F35" s="7" t="s">
        <v>18</v>
      </c>
      <c r="G35" s="7" t="s">
        <v>158</v>
      </c>
      <c r="H35" s="7" t="s">
        <v>158</v>
      </c>
    </row>
    <row r="36" spans="1:8" x14ac:dyDescent="0.3">
      <c r="A36" s="8" t="s">
        <v>211</v>
      </c>
      <c r="B36" s="9" t="s">
        <v>165</v>
      </c>
      <c r="C36" s="8"/>
      <c r="D36" s="11">
        <v>55000</v>
      </c>
      <c r="E36" s="8" t="s">
        <v>80</v>
      </c>
      <c r="F36" s="9" t="s">
        <v>166</v>
      </c>
      <c r="G36" s="9"/>
      <c r="H36" s="11">
        <v>50000</v>
      </c>
    </row>
    <row r="37" spans="1:8" x14ac:dyDescent="0.3">
      <c r="A37" s="8" t="s">
        <v>87</v>
      </c>
      <c r="B37" s="9" t="s">
        <v>84</v>
      </c>
      <c r="C37" s="8"/>
      <c r="D37" s="11">
        <v>90000</v>
      </c>
      <c r="E37" s="8" t="s">
        <v>90</v>
      </c>
      <c r="F37" s="9" t="s">
        <v>168</v>
      </c>
      <c r="G37" s="9"/>
      <c r="H37" s="11">
        <v>6000</v>
      </c>
    </row>
    <row r="38" spans="1:8" x14ac:dyDescent="0.3">
      <c r="A38" s="12" t="s">
        <v>108</v>
      </c>
      <c r="B38" s="9" t="s">
        <v>101</v>
      </c>
      <c r="C38" s="8"/>
      <c r="D38" s="11">
        <v>250000</v>
      </c>
      <c r="E38" s="8" t="s">
        <v>93</v>
      </c>
      <c r="F38" s="9" t="s">
        <v>169</v>
      </c>
      <c r="G38" s="9"/>
      <c r="H38" s="11">
        <v>18000</v>
      </c>
    </row>
    <row r="39" spans="1:8" x14ac:dyDescent="0.3">
      <c r="A39" s="12" t="s">
        <v>128</v>
      </c>
      <c r="B39" s="9" t="s">
        <v>129</v>
      </c>
      <c r="C39" s="8"/>
      <c r="D39" s="11">
        <v>11000</v>
      </c>
      <c r="E39" s="8" t="s">
        <v>106</v>
      </c>
      <c r="F39" s="9" t="s">
        <v>170</v>
      </c>
      <c r="G39" s="9"/>
      <c r="H39" s="11">
        <v>28000</v>
      </c>
    </row>
    <row r="40" spans="1:8" x14ac:dyDescent="0.3">
      <c r="A40" s="8" t="s">
        <v>131</v>
      </c>
      <c r="B40" s="9" t="s">
        <v>104</v>
      </c>
      <c r="C40" s="8"/>
      <c r="D40" s="11">
        <v>25000</v>
      </c>
      <c r="E40" s="8" t="s">
        <v>114</v>
      </c>
      <c r="F40" s="9" t="s">
        <v>171</v>
      </c>
      <c r="G40" s="9"/>
      <c r="H40" s="11">
        <v>22000</v>
      </c>
    </row>
    <row r="41" spans="1:8" x14ac:dyDescent="0.3">
      <c r="A41" s="8"/>
      <c r="B41" s="9"/>
      <c r="C41" s="8"/>
      <c r="D41" s="8"/>
      <c r="E41" s="8" t="s">
        <v>125</v>
      </c>
      <c r="F41" s="9" t="s">
        <v>172</v>
      </c>
      <c r="G41" s="9"/>
      <c r="H41" s="11">
        <v>7000</v>
      </c>
    </row>
    <row r="42" spans="1:8" x14ac:dyDescent="0.3">
      <c r="A42" s="8"/>
      <c r="B42" s="9"/>
      <c r="C42" s="8"/>
      <c r="D42" s="8"/>
      <c r="E42" s="8" t="s">
        <v>133</v>
      </c>
      <c r="F42" s="9" t="s">
        <v>173</v>
      </c>
      <c r="G42" s="9"/>
      <c r="H42" s="11">
        <v>15000</v>
      </c>
    </row>
    <row r="43" spans="1:8" x14ac:dyDescent="0.3">
      <c r="A43" s="8"/>
      <c r="B43" s="9"/>
      <c r="C43" s="8"/>
      <c r="D43" s="8"/>
      <c r="E43" s="8" t="s">
        <v>139</v>
      </c>
      <c r="F43" s="9" t="s">
        <v>140</v>
      </c>
      <c r="G43" s="9"/>
      <c r="H43" s="11">
        <v>5000</v>
      </c>
    </row>
    <row r="44" spans="1:8" x14ac:dyDescent="0.3">
      <c r="A44" s="8"/>
      <c r="B44" s="9"/>
      <c r="C44" s="8"/>
      <c r="D44" s="8"/>
      <c r="E44" s="8" t="s">
        <v>144</v>
      </c>
      <c r="F44" s="9" t="s">
        <v>166</v>
      </c>
      <c r="G44" s="9"/>
      <c r="H44" s="11">
        <v>35000</v>
      </c>
    </row>
    <row r="45" spans="1:8" x14ac:dyDescent="0.3">
      <c r="A45" s="8"/>
      <c r="B45" s="9"/>
      <c r="C45" s="8"/>
      <c r="D45" s="8"/>
      <c r="E45" s="8" t="s">
        <v>145</v>
      </c>
      <c r="F45" s="9" t="s">
        <v>174</v>
      </c>
      <c r="G45" s="9"/>
      <c r="H45" s="11">
        <v>10000</v>
      </c>
    </row>
    <row r="46" spans="1:8" x14ac:dyDescent="0.3">
      <c r="A46" s="8"/>
      <c r="B46" s="9"/>
      <c r="C46" s="8"/>
      <c r="D46" s="8"/>
      <c r="E46" s="8" t="s">
        <v>147</v>
      </c>
      <c r="F46" s="9" t="s">
        <v>175</v>
      </c>
      <c r="G46" s="9"/>
      <c r="H46" s="11">
        <v>3500</v>
      </c>
    </row>
    <row r="47" spans="1:8" x14ac:dyDescent="0.3">
      <c r="A47" s="8"/>
      <c r="B47" s="9"/>
      <c r="C47" s="8"/>
      <c r="D47" s="8"/>
      <c r="E47" s="8" t="s">
        <v>150</v>
      </c>
      <c r="F47" s="9" t="s">
        <v>176</v>
      </c>
      <c r="G47" s="9"/>
      <c r="H47" s="11">
        <v>30000</v>
      </c>
    </row>
    <row r="48" spans="1:8" x14ac:dyDescent="0.3">
      <c r="A48" s="8"/>
      <c r="B48" s="9"/>
      <c r="C48" s="8"/>
      <c r="D48" s="8"/>
      <c r="E48" s="8" t="s">
        <v>153</v>
      </c>
      <c r="F48" s="9" t="s">
        <v>177</v>
      </c>
      <c r="G48" s="9"/>
      <c r="H48" s="11">
        <v>7000</v>
      </c>
    </row>
    <row r="49" spans="1:8" x14ac:dyDescent="0.3">
      <c r="A49" s="8"/>
      <c r="B49" s="9"/>
      <c r="C49" s="8"/>
      <c r="D49" s="8"/>
      <c r="E49" s="8" t="s">
        <v>156</v>
      </c>
      <c r="F49" s="9" t="s">
        <v>112</v>
      </c>
      <c r="G49" s="9"/>
      <c r="H49" s="11">
        <v>50000</v>
      </c>
    </row>
    <row r="50" spans="1:8" x14ac:dyDescent="0.3">
      <c r="A50" s="8"/>
      <c r="B50" s="9"/>
      <c r="C50" s="8"/>
      <c r="D50" s="8"/>
      <c r="E50" s="8" t="s">
        <v>156</v>
      </c>
      <c r="F50" s="9" t="s">
        <v>178</v>
      </c>
      <c r="G50" s="9"/>
      <c r="H50" s="11">
        <v>144500</v>
      </c>
    </row>
    <row r="51" spans="1:8" x14ac:dyDescent="0.3">
      <c r="A51" s="8"/>
      <c r="B51" s="9"/>
      <c r="C51" s="8"/>
      <c r="D51" s="16">
        <f>SUM(D36:D40)</f>
        <v>431000</v>
      </c>
      <c r="E51" s="8"/>
      <c r="F51" s="9"/>
      <c r="G51" s="9"/>
      <c r="H51" s="16">
        <f>D51</f>
        <v>431000</v>
      </c>
    </row>
    <row r="52" spans="1:8" x14ac:dyDescent="0.3">
      <c r="A52" s="8" t="s">
        <v>164</v>
      </c>
      <c r="B52" s="9" t="s">
        <v>165</v>
      </c>
      <c r="C52" s="8"/>
      <c r="D52" s="11">
        <v>144500</v>
      </c>
      <c r="E52" s="8"/>
      <c r="F52" s="9"/>
      <c r="G52" s="9"/>
      <c r="H52" s="8"/>
    </row>
    <row r="53" spans="1:8" x14ac:dyDescent="0.3">
      <c r="H53" s="17"/>
    </row>
    <row r="54" spans="1:8" x14ac:dyDescent="0.3">
      <c r="A54" s="14" t="s">
        <v>79</v>
      </c>
      <c r="D54" s="73" t="s">
        <v>83</v>
      </c>
      <c r="E54" s="73"/>
      <c r="H54" s="13" t="s">
        <v>159</v>
      </c>
    </row>
    <row r="55" spans="1:8" x14ac:dyDescent="0.3">
      <c r="A55" s="7" t="s">
        <v>32</v>
      </c>
      <c r="B55" s="7" t="s">
        <v>18</v>
      </c>
      <c r="C55" s="7" t="s">
        <v>158</v>
      </c>
      <c r="D55" s="7" t="s">
        <v>158</v>
      </c>
      <c r="E55" s="7" t="s">
        <v>32</v>
      </c>
      <c r="F55" s="7" t="s">
        <v>18</v>
      </c>
      <c r="G55" s="7" t="s">
        <v>158</v>
      </c>
      <c r="H55" s="7" t="s">
        <v>158</v>
      </c>
    </row>
    <row r="56" spans="1:8" x14ac:dyDescent="0.3">
      <c r="A56" s="8" t="s">
        <v>211</v>
      </c>
      <c r="B56" s="9" t="s">
        <v>165</v>
      </c>
      <c r="C56" s="8"/>
      <c r="D56" s="11">
        <v>85000</v>
      </c>
      <c r="E56" s="8" t="s">
        <v>99</v>
      </c>
      <c r="F56" s="9" t="s">
        <v>196</v>
      </c>
      <c r="G56" s="9"/>
      <c r="H56" s="11">
        <v>12000</v>
      </c>
    </row>
    <row r="57" spans="1:8" x14ac:dyDescent="0.3">
      <c r="A57" s="8" t="s">
        <v>82</v>
      </c>
      <c r="B57" s="9" t="s">
        <v>84</v>
      </c>
      <c r="C57" s="8"/>
      <c r="D57" s="11">
        <v>210000</v>
      </c>
      <c r="E57" s="12" t="s">
        <v>108</v>
      </c>
      <c r="F57" s="9" t="s">
        <v>197</v>
      </c>
      <c r="G57" s="9"/>
      <c r="H57" s="11">
        <v>242000</v>
      </c>
    </row>
    <row r="58" spans="1:8" x14ac:dyDescent="0.3">
      <c r="A58" s="8"/>
      <c r="B58" s="9"/>
      <c r="C58" s="9"/>
      <c r="D58" s="11"/>
      <c r="E58" s="12" t="s">
        <v>108</v>
      </c>
      <c r="F58" s="9" t="s">
        <v>198</v>
      </c>
      <c r="G58" s="9"/>
      <c r="H58" s="11">
        <v>8000</v>
      </c>
    </row>
    <row r="59" spans="1:8" x14ac:dyDescent="0.3">
      <c r="A59" s="8"/>
      <c r="B59" s="9"/>
      <c r="C59" s="8"/>
      <c r="D59" s="16"/>
      <c r="E59" s="8" t="s">
        <v>162</v>
      </c>
      <c r="F59" s="9" t="s">
        <v>212</v>
      </c>
      <c r="G59" s="8"/>
      <c r="H59" s="11">
        <v>25000</v>
      </c>
    </row>
    <row r="60" spans="1:8" x14ac:dyDescent="0.3">
      <c r="A60" s="8"/>
      <c r="B60" s="9"/>
      <c r="C60" s="8"/>
      <c r="D60" s="16">
        <v>295000</v>
      </c>
      <c r="E60" s="8"/>
      <c r="F60" s="9"/>
      <c r="G60" s="9"/>
      <c r="H60" s="16">
        <v>295000</v>
      </c>
    </row>
    <row r="61" spans="1:8" x14ac:dyDescent="0.3">
      <c r="A61" s="8" t="s">
        <v>164</v>
      </c>
      <c r="B61" s="9" t="s">
        <v>165</v>
      </c>
      <c r="C61" s="8"/>
      <c r="D61" s="11">
        <v>25000</v>
      </c>
      <c r="E61" s="8"/>
      <c r="F61" s="9"/>
      <c r="G61" s="9"/>
      <c r="H61" s="16"/>
    </row>
    <row r="63" spans="1:8" x14ac:dyDescent="0.3">
      <c r="A63" s="14" t="s">
        <v>79</v>
      </c>
      <c r="D63" s="73" t="s">
        <v>201</v>
      </c>
      <c r="E63" s="73"/>
      <c r="H63" s="13" t="s">
        <v>159</v>
      </c>
    </row>
    <row r="64" spans="1:8" x14ac:dyDescent="0.3">
      <c r="A64" s="7" t="s">
        <v>32</v>
      </c>
      <c r="B64" s="7" t="s">
        <v>18</v>
      </c>
      <c r="C64" s="7" t="s">
        <v>158</v>
      </c>
      <c r="D64" s="7" t="s">
        <v>158</v>
      </c>
      <c r="E64" s="7" t="s">
        <v>32</v>
      </c>
      <c r="F64" s="7" t="s">
        <v>18</v>
      </c>
      <c r="G64" s="7" t="s">
        <v>158</v>
      </c>
      <c r="H64" s="7" t="s">
        <v>158</v>
      </c>
    </row>
    <row r="65" spans="1:8" x14ac:dyDescent="0.3">
      <c r="A65" s="8" t="s">
        <v>162</v>
      </c>
      <c r="B65" s="9" t="s">
        <v>199</v>
      </c>
      <c r="C65" s="8"/>
      <c r="D65" s="11">
        <v>440000</v>
      </c>
      <c r="E65" s="8" t="s">
        <v>82</v>
      </c>
      <c r="F65" s="9" t="s">
        <v>194</v>
      </c>
      <c r="H65" s="11">
        <v>210000</v>
      </c>
    </row>
    <row r="66" spans="1:8" x14ac:dyDescent="0.3">
      <c r="A66" s="8"/>
      <c r="B66" s="9"/>
      <c r="C66" s="8"/>
      <c r="D66" s="11"/>
      <c r="E66" s="8" t="s">
        <v>87</v>
      </c>
      <c r="F66" s="9" t="s">
        <v>197</v>
      </c>
      <c r="G66" s="9"/>
      <c r="H66" s="11">
        <v>90000</v>
      </c>
    </row>
    <row r="67" spans="1:8" x14ac:dyDescent="0.3">
      <c r="A67" s="8"/>
      <c r="B67" s="9"/>
      <c r="C67" s="8"/>
      <c r="D67" s="8"/>
      <c r="E67" s="8" t="s">
        <v>119</v>
      </c>
      <c r="F67" s="9" t="s">
        <v>202</v>
      </c>
      <c r="G67" s="9"/>
      <c r="H67" s="11">
        <v>140000</v>
      </c>
    </row>
    <row r="68" spans="1:8" x14ac:dyDescent="0.3">
      <c r="A68" s="8"/>
      <c r="B68" s="9"/>
      <c r="C68" s="8"/>
      <c r="D68" s="16">
        <f>H68</f>
        <v>440000</v>
      </c>
      <c r="E68" s="8"/>
      <c r="F68" s="9"/>
      <c r="G68" s="9"/>
      <c r="H68" s="16">
        <f>SUM(H65:H67)</f>
        <v>440000</v>
      </c>
    </row>
    <row r="69" spans="1:8" x14ac:dyDescent="0.3">
      <c r="A69" s="8"/>
      <c r="B69" s="9"/>
      <c r="C69" s="8"/>
      <c r="D69" s="8"/>
      <c r="E69" s="8" t="s">
        <v>164</v>
      </c>
      <c r="F69" s="9" t="s">
        <v>200</v>
      </c>
      <c r="G69" s="9"/>
      <c r="H69" s="11">
        <v>440000</v>
      </c>
    </row>
    <row r="71" spans="1:8" x14ac:dyDescent="0.3">
      <c r="A71" s="14" t="s">
        <v>79</v>
      </c>
      <c r="D71" s="73" t="s">
        <v>91</v>
      </c>
      <c r="E71" s="73"/>
      <c r="H71" s="13" t="s">
        <v>159</v>
      </c>
    </row>
    <row r="72" spans="1:8" x14ac:dyDescent="0.3">
      <c r="A72" s="7" t="s">
        <v>32</v>
      </c>
      <c r="B72" s="7" t="s">
        <v>18</v>
      </c>
      <c r="C72" s="7" t="s">
        <v>158</v>
      </c>
      <c r="D72" s="7" t="s">
        <v>158</v>
      </c>
      <c r="E72" s="7" t="s">
        <v>32</v>
      </c>
      <c r="F72" s="7" t="s">
        <v>18</v>
      </c>
      <c r="G72" s="7" t="s">
        <v>158</v>
      </c>
      <c r="H72" s="7" t="s">
        <v>158</v>
      </c>
    </row>
    <row r="73" spans="1:8" x14ac:dyDescent="0.3">
      <c r="A73" s="8" t="s">
        <v>90</v>
      </c>
      <c r="B73" s="9" t="s">
        <v>81</v>
      </c>
      <c r="C73" s="9"/>
      <c r="D73" s="11">
        <v>6000</v>
      </c>
      <c r="E73" s="8" t="s">
        <v>162</v>
      </c>
      <c r="F73" s="15" t="s">
        <v>178</v>
      </c>
      <c r="G73" s="9"/>
      <c r="H73" s="11">
        <v>6000</v>
      </c>
    </row>
    <row r="74" spans="1:8" x14ac:dyDescent="0.3">
      <c r="A74" s="8"/>
      <c r="B74" s="9"/>
      <c r="C74" s="8"/>
      <c r="D74" s="16">
        <v>6000</v>
      </c>
      <c r="E74" s="8"/>
      <c r="F74" s="9"/>
      <c r="G74" s="9"/>
      <c r="H74" s="16">
        <v>6000</v>
      </c>
    </row>
    <row r="75" spans="1:8" x14ac:dyDescent="0.3">
      <c r="A75" s="8" t="s">
        <v>164</v>
      </c>
      <c r="B75" s="9" t="s">
        <v>165</v>
      </c>
      <c r="C75" s="8"/>
      <c r="D75" s="11">
        <v>6000</v>
      </c>
      <c r="E75" s="8"/>
      <c r="F75" s="9"/>
      <c r="G75" s="9"/>
      <c r="H75" s="8"/>
    </row>
    <row r="77" spans="1:8" x14ac:dyDescent="0.3">
      <c r="A77" s="14" t="s">
        <v>79</v>
      </c>
      <c r="D77" s="73" t="s">
        <v>94</v>
      </c>
      <c r="E77" s="73"/>
      <c r="H77" s="13" t="s">
        <v>159</v>
      </c>
    </row>
    <row r="78" spans="1:8" x14ac:dyDescent="0.3">
      <c r="A78" s="7" t="s">
        <v>32</v>
      </c>
      <c r="B78" s="7" t="s">
        <v>18</v>
      </c>
      <c r="C78" s="7" t="s">
        <v>158</v>
      </c>
      <c r="D78" s="7" t="s">
        <v>158</v>
      </c>
      <c r="E78" s="7" t="s">
        <v>32</v>
      </c>
      <c r="F78" s="7" t="s">
        <v>18</v>
      </c>
      <c r="G78" s="7" t="s">
        <v>158</v>
      </c>
      <c r="H78" s="7" t="s">
        <v>158</v>
      </c>
    </row>
    <row r="79" spans="1:8" x14ac:dyDescent="0.3">
      <c r="A79" s="8" t="s">
        <v>93</v>
      </c>
      <c r="B79" s="9" t="s">
        <v>81</v>
      </c>
      <c r="C79" s="8"/>
      <c r="D79" s="11">
        <v>18000</v>
      </c>
      <c r="E79" s="8" t="s">
        <v>162</v>
      </c>
      <c r="F79" s="15" t="s">
        <v>178</v>
      </c>
      <c r="G79" s="9"/>
      <c r="H79" s="11">
        <v>18000</v>
      </c>
    </row>
    <row r="80" spans="1:8" x14ac:dyDescent="0.3">
      <c r="A80" s="8"/>
      <c r="B80" s="9"/>
      <c r="C80" s="8"/>
      <c r="D80" s="11">
        <v>18000</v>
      </c>
      <c r="E80" s="8"/>
      <c r="F80" s="9"/>
      <c r="G80" s="9"/>
      <c r="H80" s="11">
        <v>18000</v>
      </c>
    </row>
    <row r="81" spans="1:8" x14ac:dyDescent="0.3">
      <c r="A81" s="8" t="s">
        <v>164</v>
      </c>
      <c r="B81" s="9" t="s">
        <v>165</v>
      </c>
      <c r="C81" s="8"/>
      <c r="D81" s="11">
        <v>18000</v>
      </c>
      <c r="E81" s="8"/>
      <c r="F81" s="9"/>
      <c r="G81" s="9"/>
      <c r="H81" s="8"/>
    </row>
    <row r="83" spans="1:8" x14ac:dyDescent="0.3">
      <c r="A83" s="14" t="s">
        <v>79</v>
      </c>
      <c r="D83" s="73" t="s">
        <v>203</v>
      </c>
      <c r="E83" s="73"/>
      <c r="H83" s="13" t="s">
        <v>159</v>
      </c>
    </row>
    <row r="84" spans="1:8" x14ac:dyDescent="0.3">
      <c r="A84" s="7" t="s">
        <v>32</v>
      </c>
      <c r="B84" s="7" t="s">
        <v>18</v>
      </c>
      <c r="C84" s="7" t="s">
        <v>158</v>
      </c>
      <c r="D84" s="7" t="s">
        <v>158</v>
      </c>
      <c r="E84" s="7" t="s">
        <v>32</v>
      </c>
      <c r="F84" s="7" t="s">
        <v>18</v>
      </c>
      <c r="G84" s="7" t="s">
        <v>158</v>
      </c>
      <c r="H84" s="7" t="s">
        <v>158</v>
      </c>
    </row>
    <row r="85" spans="1:8" x14ac:dyDescent="0.3">
      <c r="A85" s="8" t="s">
        <v>162</v>
      </c>
      <c r="B85" s="9" t="s">
        <v>199</v>
      </c>
      <c r="C85" s="8"/>
      <c r="D85" s="11">
        <v>15000</v>
      </c>
      <c r="E85" s="8" t="s">
        <v>95</v>
      </c>
      <c r="F85" s="9" t="s">
        <v>204</v>
      </c>
      <c r="G85" s="9"/>
      <c r="H85" s="11">
        <v>15000</v>
      </c>
    </row>
    <row r="86" spans="1:8" x14ac:dyDescent="0.3">
      <c r="A86" s="8"/>
      <c r="B86" s="9"/>
      <c r="C86" s="8"/>
      <c r="D86" s="16">
        <v>15000</v>
      </c>
      <c r="E86" s="8"/>
      <c r="F86" s="9"/>
      <c r="G86" s="9"/>
      <c r="H86" s="16">
        <v>15000</v>
      </c>
    </row>
    <row r="87" spans="1:8" x14ac:dyDescent="0.3">
      <c r="A87" s="8"/>
      <c r="B87" s="9"/>
      <c r="C87" s="8"/>
      <c r="D87" s="8"/>
      <c r="E87" s="8" t="s">
        <v>164</v>
      </c>
      <c r="F87" s="9" t="s">
        <v>200</v>
      </c>
      <c r="G87" s="9"/>
      <c r="H87" s="11">
        <v>15000</v>
      </c>
    </row>
    <row r="89" spans="1:8" x14ac:dyDescent="0.3">
      <c r="A89" s="14" t="s">
        <v>79</v>
      </c>
      <c r="D89" s="73" t="s">
        <v>100</v>
      </c>
      <c r="E89" s="73"/>
      <c r="H89" s="13" t="s">
        <v>159</v>
      </c>
    </row>
    <row r="90" spans="1:8" x14ac:dyDescent="0.3">
      <c r="A90" s="7" t="s">
        <v>32</v>
      </c>
      <c r="B90" s="7" t="s">
        <v>18</v>
      </c>
      <c r="C90" s="7" t="s">
        <v>158</v>
      </c>
      <c r="D90" s="7" t="s">
        <v>158</v>
      </c>
      <c r="E90" s="7" t="s">
        <v>32</v>
      </c>
      <c r="F90" s="7" t="s">
        <v>18</v>
      </c>
      <c r="G90" s="7" t="s">
        <v>158</v>
      </c>
      <c r="H90" s="7" t="s">
        <v>158</v>
      </c>
    </row>
    <row r="91" spans="1:8" x14ac:dyDescent="0.3">
      <c r="A91" s="8" t="s">
        <v>99</v>
      </c>
      <c r="B91" s="9" t="s">
        <v>101</v>
      </c>
      <c r="C91" s="8"/>
      <c r="D91" s="11">
        <v>12000</v>
      </c>
      <c r="E91" s="8" t="s">
        <v>162</v>
      </c>
      <c r="F91" s="15" t="s">
        <v>178</v>
      </c>
      <c r="G91" s="9"/>
      <c r="H91" s="11">
        <v>12000</v>
      </c>
    </row>
    <row r="92" spans="1:8" x14ac:dyDescent="0.3">
      <c r="A92" s="8"/>
      <c r="B92" s="9"/>
      <c r="C92" s="8"/>
      <c r="D92" s="16">
        <v>12000</v>
      </c>
      <c r="E92" s="8"/>
      <c r="F92" s="9"/>
      <c r="G92" s="9"/>
      <c r="H92" s="16">
        <v>12000</v>
      </c>
    </row>
    <row r="93" spans="1:8" x14ac:dyDescent="0.3">
      <c r="A93" s="8" t="s">
        <v>164</v>
      </c>
      <c r="B93" s="9" t="s">
        <v>165</v>
      </c>
      <c r="C93" s="8"/>
      <c r="D93" s="11">
        <v>12000</v>
      </c>
      <c r="E93" s="8"/>
      <c r="F93" s="9"/>
      <c r="G93" s="9"/>
      <c r="H93" s="8"/>
    </row>
    <row r="95" spans="1:8" x14ac:dyDescent="0.3">
      <c r="A95" s="14" t="s">
        <v>79</v>
      </c>
      <c r="D95" s="73" t="s">
        <v>103</v>
      </c>
      <c r="E95" s="73"/>
      <c r="H95" s="13" t="s">
        <v>159</v>
      </c>
    </row>
    <row r="96" spans="1:8" x14ac:dyDescent="0.3">
      <c r="A96" s="7" t="s">
        <v>32</v>
      </c>
      <c r="B96" s="7" t="s">
        <v>18</v>
      </c>
      <c r="C96" s="7" t="s">
        <v>158</v>
      </c>
      <c r="D96" s="7" t="s">
        <v>158</v>
      </c>
      <c r="E96" s="7" t="s">
        <v>32</v>
      </c>
      <c r="F96" s="7" t="s">
        <v>18</v>
      </c>
      <c r="G96" s="7" t="s">
        <v>158</v>
      </c>
      <c r="H96" s="7" t="s">
        <v>158</v>
      </c>
    </row>
    <row r="97" spans="1:8" x14ac:dyDescent="0.3">
      <c r="A97" s="8" t="s">
        <v>102</v>
      </c>
      <c r="B97" s="9" t="s">
        <v>104</v>
      </c>
      <c r="C97" s="8"/>
      <c r="D97" s="11">
        <v>60000</v>
      </c>
      <c r="E97" s="8" t="s">
        <v>162</v>
      </c>
      <c r="F97" s="15" t="s">
        <v>178</v>
      </c>
      <c r="G97" s="9"/>
      <c r="H97" s="11">
        <v>60000</v>
      </c>
    </row>
    <row r="98" spans="1:8" x14ac:dyDescent="0.3">
      <c r="A98" s="8"/>
      <c r="B98" s="9"/>
      <c r="C98" s="8"/>
      <c r="D98" s="16">
        <v>60000</v>
      </c>
      <c r="E98" s="8"/>
      <c r="F98" s="9"/>
      <c r="G98" s="9"/>
      <c r="H98" s="16">
        <v>60000</v>
      </c>
    </row>
    <row r="99" spans="1:8" x14ac:dyDescent="0.3">
      <c r="A99" s="8" t="s">
        <v>164</v>
      </c>
      <c r="B99" s="9" t="s">
        <v>165</v>
      </c>
      <c r="C99" s="8"/>
      <c r="D99" s="11">
        <v>60000</v>
      </c>
      <c r="E99" s="8"/>
      <c r="F99" s="9"/>
      <c r="G99" s="9"/>
      <c r="H99" s="8"/>
    </row>
    <row r="101" spans="1:8" x14ac:dyDescent="0.3">
      <c r="A101" s="14" t="s">
        <v>79</v>
      </c>
      <c r="D101" s="73" t="s">
        <v>122</v>
      </c>
      <c r="E101" s="73"/>
      <c r="H101" s="13" t="s">
        <v>159</v>
      </c>
    </row>
    <row r="102" spans="1:8" x14ac:dyDescent="0.3">
      <c r="A102" s="7" t="s">
        <v>32</v>
      </c>
      <c r="B102" s="7" t="s">
        <v>18</v>
      </c>
      <c r="C102" s="7" t="s">
        <v>158</v>
      </c>
      <c r="D102" s="7" t="s">
        <v>158</v>
      </c>
      <c r="E102" s="7" t="s">
        <v>32</v>
      </c>
      <c r="F102" s="7" t="s">
        <v>18</v>
      </c>
      <c r="G102" s="7" t="s">
        <v>158</v>
      </c>
      <c r="H102" s="7" t="s">
        <v>158</v>
      </c>
    </row>
    <row r="103" spans="1:8" x14ac:dyDescent="0.3">
      <c r="A103" s="6" t="s">
        <v>211</v>
      </c>
      <c r="B103" t="s">
        <v>165</v>
      </c>
      <c r="D103" s="17">
        <v>150000</v>
      </c>
      <c r="E103" s="8" t="s">
        <v>102</v>
      </c>
      <c r="F103" s="9" t="s">
        <v>205</v>
      </c>
      <c r="G103" s="9"/>
      <c r="H103" s="11">
        <v>60000</v>
      </c>
    </row>
    <row r="104" spans="1:8" x14ac:dyDescent="0.3">
      <c r="A104" s="8" t="s">
        <v>121</v>
      </c>
      <c r="B104" s="9" t="s">
        <v>123</v>
      </c>
      <c r="C104" s="8"/>
      <c r="D104" s="11">
        <v>125000</v>
      </c>
      <c r="E104" s="12" t="s">
        <v>111</v>
      </c>
      <c r="F104" s="9" t="s">
        <v>204</v>
      </c>
      <c r="G104" s="9"/>
      <c r="H104" s="11">
        <v>180000</v>
      </c>
    </row>
    <row r="105" spans="1:8" x14ac:dyDescent="0.3">
      <c r="A105" s="8" t="s">
        <v>141</v>
      </c>
      <c r="B105" s="9" t="s">
        <v>142</v>
      </c>
      <c r="C105" s="8"/>
      <c r="D105" s="11">
        <v>4000</v>
      </c>
      <c r="E105" s="8" t="s">
        <v>131</v>
      </c>
      <c r="F105" s="9" t="s">
        <v>197</v>
      </c>
      <c r="G105" s="9"/>
      <c r="H105" s="11">
        <v>25000</v>
      </c>
    </row>
    <row r="106" spans="1:8" x14ac:dyDescent="0.3">
      <c r="A106" s="8" t="s">
        <v>156</v>
      </c>
      <c r="B106" s="9" t="s">
        <v>81</v>
      </c>
      <c r="C106" s="8"/>
      <c r="D106" s="11">
        <v>50000</v>
      </c>
      <c r="E106" s="8" t="s">
        <v>136</v>
      </c>
      <c r="F106" s="9" t="s">
        <v>206</v>
      </c>
      <c r="G106" s="9"/>
      <c r="H106" s="11">
        <v>8000</v>
      </c>
    </row>
    <row r="107" spans="1:8" x14ac:dyDescent="0.3">
      <c r="A107" s="8"/>
      <c r="B107" s="9"/>
      <c r="C107" s="8"/>
      <c r="D107" s="11"/>
      <c r="E107" s="8" t="s">
        <v>156</v>
      </c>
      <c r="F107" s="9" t="s">
        <v>178</v>
      </c>
      <c r="G107" s="9"/>
      <c r="H107" s="11">
        <v>56000</v>
      </c>
    </row>
    <row r="108" spans="1:8" x14ac:dyDescent="0.3">
      <c r="A108" s="8"/>
      <c r="B108" s="9"/>
      <c r="C108" s="8"/>
      <c r="D108" s="16">
        <f>H108</f>
        <v>329000</v>
      </c>
      <c r="E108" s="8"/>
      <c r="F108" s="9"/>
      <c r="G108" s="9"/>
      <c r="H108" s="16">
        <f>SUM(H103:H107)</f>
        <v>329000</v>
      </c>
    </row>
    <row r="109" spans="1:8" x14ac:dyDescent="0.3">
      <c r="A109" s="8" t="s">
        <v>164</v>
      </c>
      <c r="B109" s="9" t="s">
        <v>213</v>
      </c>
      <c r="C109" s="9"/>
      <c r="D109" s="11">
        <v>56000</v>
      </c>
      <c r="E109" s="8"/>
      <c r="F109" s="9"/>
      <c r="G109" s="8"/>
      <c r="H109" s="8"/>
    </row>
    <row r="111" spans="1:8" x14ac:dyDescent="0.3">
      <c r="A111" s="14" t="s">
        <v>79</v>
      </c>
      <c r="D111" s="73" t="s">
        <v>107</v>
      </c>
      <c r="E111" s="73"/>
      <c r="H111" s="13" t="s">
        <v>159</v>
      </c>
    </row>
    <row r="112" spans="1:8" x14ac:dyDescent="0.3">
      <c r="A112" s="7" t="s">
        <v>32</v>
      </c>
      <c r="B112" s="7" t="s">
        <v>18</v>
      </c>
      <c r="C112" s="7" t="s">
        <v>158</v>
      </c>
      <c r="D112" s="7" t="s">
        <v>158</v>
      </c>
      <c r="E112" s="7" t="s">
        <v>32</v>
      </c>
      <c r="F112" s="7" t="s">
        <v>18</v>
      </c>
      <c r="G112" s="7" t="s">
        <v>158</v>
      </c>
      <c r="H112" s="7" t="s">
        <v>158</v>
      </c>
    </row>
    <row r="113" spans="1:8" x14ac:dyDescent="0.3">
      <c r="A113" s="8" t="s">
        <v>106</v>
      </c>
      <c r="B113" s="9" t="s">
        <v>81</v>
      </c>
      <c r="C113" s="8"/>
      <c r="D113" s="11">
        <v>28000</v>
      </c>
      <c r="E113" s="8" t="s">
        <v>162</v>
      </c>
      <c r="F113" s="15" t="s">
        <v>178</v>
      </c>
      <c r="G113" s="9"/>
      <c r="H113" s="11">
        <v>28000</v>
      </c>
    </row>
    <row r="114" spans="1:8" x14ac:dyDescent="0.3">
      <c r="A114" s="8"/>
      <c r="B114" s="9"/>
      <c r="C114" s="8"/>
      <c r="D114" s="16">
        <v>28000</v>
      </c>
      <c r="E114" s="8"/>
      <c r="F114" s="9"/>
      <c r="G114" s="9"/>
      <c r="H114" s="16">
        <v>28000</v>
      </c>
    </row>
    <row r="115" spans="1:8" x14ac:dyDescent="0.3">
      <c r="A115" s="8" t="s">
        <v>164</v>
      </c>
      <c r="B115" s="9" t="s">
        <v>165</v>
      </c>
      <c r="C115" s="8"/>
      <c r="D115" s="11">
        <v>28000</v>
      </c>
      <c r="E115" s="8"/>
      <c r="F115" s="9"/>
      <c r="G115" s="9"/>
      <c r="H115" s="8"/>
    </row>
    <row r="117" spans="1:8" x14ac:dyDescent="0.3">
      <c r="A117" s="14" t="s">
        <v>79</v>
      </c>
      <c r="D117" s="73" t="s">
        <v>207</v>
      </c>
      <c r="E117" s="73"/>
      <c r="H117" s="13" t="s">
        <v>159</v>
      </c>
    </row>
    <row r="118" spans="1:8" x14ac:dyDescent="0.3">
      <c r="A118" s="7" t="s">
        <v>32</v>
      </c>
      <c r="B118" s="7" t="s">
        <v>18</v>
      </c>
      <c r="C118" s="7" t="s">
        <v>158</v>
      </c>
      <c r="D118" s="7" t="s">
        <v>158</v>
      </c>
      <c r="E118" s="7" t="s">
        <v>32</v>
      </c>
      <c r="F118" s="7" t="s">
        <v>18</v>
      </c>
      <c r="G118" s="7" t="s">
        <v>158</v>
      </c>
      <c r="H118" s="7" t="s">
        <v>158</v>
      </c>
    </row>
    <row r="119" spans="1:8" x14ac:dyDescent="0.3">
      <c r="A119" s="12" t="s">
        <v>108</v>
      </c>
      <c r="B119" s="9" t="s">
        <v>101</v>
      </c>
      <c r="C119" s="8"/>
      <c r="D119" s="11">
        <v>8000</v>
      </c>
      <c r="E119" s="8" t="s">
        <v>162</v>
      </c>
      <c r="F119" s="15" t="s">
        <v>178</v>
      </c>
      <c r="G119" s="9"/>
      <c r="H119" s="11">
        <v>8000</v>
      </c>
    </row>
    <row r="120" spans="1:8" x14ac:dyDescent="0.3">
      <c r="A120" s="8"/>
      <c r="B120" s="9"/>
      <c r="C120" s="8"/>
      <c r="D120" s="16">
        <v>8000</v>
      </c>
      <c r="E120" s="8"/>
      <c r="F120" s="9"/>
      <c r="G120" s="9"/>
      <c r="H120" s="16">
        <v>8000</v>
      </c>
    </row>
    <row r="121" spans="1:8" x14ac:dyDescent="0.3">
      <c r="A121" s="8" t="s">
        <v>164</v>
      </c>
      <c r="B121" s="9" t="s">
        <v>165</v>
      </c>
      <c r="C121" s="8"/>
      <c r="D121" s="11">
        <v>8000</v>
      </c>
      <c r="E121" s="8"/>
      <c r="F121" s="9"/>
      <c r="G121" s="9"/>
      <c r="H121" s="8"/>
    </row>
    <row r="123" spans="1:8" x14ac:dyDescent="0.3">
      <c r="A123" s="14" t="s">
        <v>79</v>
      </c>
      <c r="D123" s="73" t="s">
        <v>208</v>
      </c>
      <c r="E123" s="73"/>
      <c r="H123" s="13" t="s">
        <v>159</v>
      </c>
    </row>
    <row r="124" spans="1:8" x14ac:dyDescent="0.3">
      <c r="A124" s="7" t="s">
        <v>32</v>
      </c>
      <c r="B124" s="7" t="s">
        <v>18</v>
      </c>
      <c r="C124" s="7" t="s">
        <v>158</v>
      </c>
      <c r="D124" s="7" t="s">
        <v>158</v>
      </c>
      <c r="E124" s="7" t="s">
        <v>32</v>
      </c>
      <c r="F124" s="7" t="s">
        <v>18</v>
      </c>
      <c r="G124" s="7" t="s">
        <v>158</v>
      </c>
      <c r="H124" s="7" t="s">
        <v>158</v>
      </c>
    </row>
    <row r="125" spans="1:8" x14ac:dyDescent="0.3">
      <c r="A125" s="8" t="s">
        <v>162</v>
      </c>
      <c r="B125" s="15" t="s">
        <v>199</v>
      </c>
      <c r="C125" s="8"/>
      <c r="D125" s="11">
        <v>10000</v>
      </c>
      <c r="E125" s="12" t="s">
        <v>111</v>
      </c>
      <c r="F125" s="9" t="s">
        <v>204</v>
      </c>
      <c r="G125" s="9"/>
      <c r="H125" s="11">
        <v>10000</v>
      </c>
    </row>
    <row r="126" spans="1:8" x14ac:dyDescent="0.3">
      <c r="A126" s="8"/>
      <c r="B126" s="9"/>
      <c r="C126" s="8"/>
      <c r="D126" s="16">
        <v>10000</v>
      </c>
      <c r="E126" s="8"/>
      <c r="F126" s="9"/>
      <c r="G126" s="9"/>
      <c r="H126" s="16">
        <v>10000</v>
      </c>
    </row>
    <row r="127" spans="1:8" x14ac:dyDescent="0.3">
      <c r="A127" s="8"/>
      <c r="B127" s="9"/>
      <c r="C127" s="8"/>
      <c r="D127" s="8"/>
      <c r="E127" s="8" t="s">
        <v>164</v>
      </c>
      <c r="F127" s="9" t="s">
        <v>200</v>
      </c>
      <c r="G127" s="9"/>
      <c r="H127" s="11">
        <v>10000</v>
      </c>
    </row>
    <row r="129" spans="1:8" x14ac:dyDescent="0.3">
      <c r="A129" s="14" t="s">
        <v>79</v>
      </c>
      <c r="D129" s="73" t="s">
        <v>115</v>
      </c>
      <c r="E129" s="73"/>
      <c r="H129" s="13" t="s">
        <v>159</v>
      </c>
    </row>
    <row r="130" spans="1:8" x14ac:dyDescent="0.3">
      <c r="A130" s="7" t="s">
        <v>32</v>
      </c>
      <c r="B130" s="7" t="s">
        <v>18</v>
      </c>
      <c r="C130" s="7" t="s">
        <v>158</v>
      </c>
      <c r="D130" s="7" t="s">
        <v>158</v>
      </c>
      <c r="E130" s="7" t="s">
        <v>32</v>
      </c>
      <c r="F130" s="7" t="s">
        <v>18</v>
      </c>
      <c r="G130" s="7" t="s">
        <v>158</v>
      </c>
      <c r="H130" s="7" t="s">
        <v>158</v>
      </c>
    </row>
    <row r="131" spans="1:8" x14ac:dyDescent="0.3">
      <c r="A131" s="8" t="s">
        <v>114</v>
      </c>
      <c r="B131" s="9" t="s">
        <v>81</v>
      </c>
      <c r="C131" s="8"/>
      <c r="D131" s="11">
        <v>22000</v>
      </c>
      <c r="E131" s="8" t="s">
        <v>162</v>
      </c>
      <c r="F131" s="15" t="s">
        <v>178</v>
      </c>
      <c r="G131" s="9"/>
      <c r="H131" s="11">
        <v>22000</v>
      </c>
    </row>
    <row r="132" spans="1:8" x14ac:dyDescent="0.3">
      <c r="A132" s="8"/>
      <c r="B132" s="9"/>
      <c r="C132" s="8"/>
      <c r="D132" s="16">
        <v>22000</v>
      </c>
      <c r="E132" s="8"/>
      <c r="F132" s="9"/>
      <c r="G132" s="9"/>
      <c r="H132" s="16">
        <v>22000</v>
      </c>
    </row>
    <row r="133" spans="1:8" x14ac:dyDescent="0.3">
      <c r="A133" s="8" t="s">
        <v>164</v>
      </c>
      <c r="B133" s="9" t="s">
        <v>165</v>
      </c>
      <c r="C133" s="8"/>
      <c r="D133" s="11">
        <v>22000</v>
      </c>
      <c r="E133" s="8"/>
      <c r="F133" s="9"/>
      <c r="G133" s="9"/>
      <c r="H133" s="8"/>
    </row>
    <row r="135" spans="1:8" x14ac:dyDescent="0.3">
      <c r="A135" s="14" t="s">
        <v>79</v>
      </c>
      <c r="D135" s="73" t="s">
        <v>209</v>
      </c>
      <c r="E135" s="73"/>
      <c r="H135" s="13" t="s">
        <v>159</v>
      </c>
    </row>
    <row r="136" spans="1:8" x14ac:dyDescent="0.3">
      <c r="A136" s="7" t="s">
        <v>32</v>
      </c>
      <c r="B136" s="7" t="s">
        <v>18</v>
      </c>
      <c r="C136" s="7" t="s">
        <v>158</v>
      </c>
      <c r="D136" s="7" t="s">
        <v>158</v>
      </c>
      <c r="E136" s="7" t="s">
        <v>32</v>
      </c>
      <c r="F136" s="7" t="s">
        <v>18</v>
      </c>
      <c r="G136" s="7" t="s">
        <v>158</v>
      </c>
      <c r="H136" s="7" t="s">
        <v>158</v>
      </c>
    </row>
    <row r="137" spans="1:8" x14ac:dyDescent="0.3">
      <c r="A137" s="8" t="s">
        <v>162</v>
      </c>
      <c r="B137" s="15" t="s">
        <v>199</v>
      </c>
      <c r="C137" s="8"/>
      <c r="D137" s="11">
        <v>150000</v>
      </c>
      <c r="E137" s="8" t="s">
        <v>211</v>
      </c>
      <c r="F137" s="15" t="s">
        <v>200</v>
      </c>
      <c r="G137" s="9"/>
      <c r="H137" s="11">
        <v>55000</v>
      </c>
    </row>
    <row r="138" spans="1:8" x14ac:dyDescent="0.3">
      <c r="A138" s="8"/>
      <c r="B138" s="15"/>
      <c r="C138" s="8"/>
      <c r="D138" s="11"/>
      <c r="E138" s="8" t="s">
        <v>117</v>
      </c>
      <c r="F138" s="9" t="s">
        <v>166</v>
      </c>
      <c r="G138" s="9"/>
      <c r="H138" s="11">
        <v>95000</v>
      </c>
    </row>
    <row r="139" spans="1:8" x14ac:dyDescent="0.3">
      <c r="A139" s="8"/>
      <c r="B139" s="9"/>
      <c r="C139" s="8"/>
      <c r="D139" s="16">
        <v>150000</v>
      </c>
      <c r="E139" s="8"/>
      <c r="F139" s="9"/>
      <c r="G139" s="9"/>
      <c r="H139" s="16">
        <v>150000</v>
      </c>
    </row>
    <row r="140" spans="1:8" x14ac:dyDescent="0.3">
      <c r="A140" s="8"/>
      <c r="B140" s="9"/>
      <c r="C140" s="8"/>
      <c r="D140" s="8"/>
      <c r="E140" s="8" t="s">
        <v>164</v>
      </c>
      <c r="F140" s="9" t="s">
        <v>200</v>
      </c>
      <c r="G140" s="9"/>
      <c r="H140" s="11">
        <v>150000</v>
      </c>
    </row>
    <row r="142" spans="1:8" x14ac:dyDescent="0.3">
      <c r="A142" s="14" t="s">
        <v>79</v>
      </c>
      <c r="D142" s="73" t="s">
        <v>210</v>
      </c>
      <c r="E142" s="73"/>
      <c r="H142" s="13" t="s">
        <v>159</v>
      </c>
    </row>
    <row r="143" spans="1:8" x14ac:dyDescent="0.3">
      <c r="A143" s="7" t="s">
        <v>32</v>
      </c>
      <c r="B143" s="7" t="s">
        <v>18</v>
      </c>
      <c r="C143" s="7" t="s">
        <v>158</v>
      </c>
      <c r="D143" s="7" t="s">
        <v>158</v>
      </c>
      <c r="E143" s="7" t="s">
        <v>32</v>
      </c>
      <c r="F143" s="7" t="s">
        <v>18</v>
      </c>
      <c r="G143" s="7" t="s">
        <v>158</v>
      </c>
      <c r="H143" s="7" t="s">
        <v>158</v>
      </c>
    </row>
    <row r="144" spans="1:8" x14ac:dyDescent="0.3">
      <c r="A144" s="8" t="s">
        <v>211</v>
      </c>
      <c r="B144" s="9" t="s">
        <v>165</v>
      </c>
      <c r="C144" s="8"/>
      <c r="D144" s="11">
        <v>60000</v>
      </c>
      <c r="E144" s="8" t="s">
        <v>121</v>
      </c>
      <c r="F144" s="9" t="s">
        <v>112</v>
      </c>
      <c r="G144" s="9"/>
      <c r="H144" s="11">
        <v>125000</v>
      </c>
    </row>
    <row r="145" spans="1:8" x14ac:dyDescent="0.3">
      <c r="A145" s="8" t="s">
        <v>119</v>
      </c>
      <c r="B145" s="9" t="s">
        <v>84</v>
      </c>
      <c r="C145" s="8"/>
      <c r="D145" s="11">
        <v>140000</v>
      </c>
      <c r="E145" s="8" t="s">
        <v>156</v>
      </c>
      <c r="F145" s="9" t="s">
        <v>178</v>
      </c>
      <c r="G145" s="9"/>
      <c r="H145" s="11">
        <v>75000</v>
      </c>
    </row>
    <row r="146" spans="1:8" x14ac:dyDescent="0.3">
      <c r="A146" s="8"/>
      <c r="B146" s="9"/>
      <c r="C146" s="8"/>
      <c r="D146" s="16">
        <v>200000</v>
      </c>
      <c r="E146" s="8"/>
      <c r="F146" s="9"/>
      <c r="G146" s="9"/>
      <c r="H146" s="16">
        <v>200000</v>
      </c>
    </row>
    <row r="147" spans="1:8" x14ac:dyDescent="0.3">
      <c r="A147" s="8" t="s">
        <v>164</v>
      </c>
      <c r="B147" s="9" t="s">
        <v>165</v>
      </c>
      <c r="C147" s="8"/>
      <c r="D147" s="11">
        <v>75000</v>
      </c>
      <c r="E147" s="8"/>
      <c r="F147" s="9"/>
      <c r="G147" s="9"/>
      <c r="H147" s="8"/>
    </row>
    <row r="149" spans="1:8" x14ac:dyDescent="0.3">
      <c r="A149" s="14" t="s">
        <v>79</v>
      </c>
      <c r="D149" s="73" t="s">
        <v>214</v>
      </c>
      <c r="E149" s="73"/>
      <c r="H149" s="13" t="s">
        <v>159</v>
      </c>
    </row>
    <row r="150" spans="1:8" x14ac:dyDescent="0.3">
      <c r="A150" s="7" t="s">
        <v>32</v>
      </c>
      <c r="B150" s="7" t="s">
        <v>18</v>
      </c>
      <c r="C150" s="7" t="s">
        <v>158</v>
      </c>
      <c r="D150" s="7" t="s">
        <v>158</v>
      </c>
      <c r="E150" s="7" t="s">
        <v>32</v>
      </c>
      <c r="F150" s="7" t="s">
        <v>18</v>
      </c>
      <c r="G150" s="7" t="s">
        <v>158</v>
      </c>
      <c r="H150" s="7" t="s">
        <v>158</v>
      </c>
    </row>
    <row r="151" spans="1:8" x14ac:dyDescent="0.3">
      <c r="A151" s="8" t="s">
        <v>125</v>
      </c>
      <c r="B151" s="9" t="s">
        <v>81</v>
      </c>
      <c r="C151" s="8"/>
      <c r="D151" s="11">
        <v>7000</v>
      </c>
      <c r="E151" s="8" t="s">
        <v>156</v>
      </c>
      <c r="F151" s="8" t="s">
        <v>178</v>
      </c>
      <c r="G151" s="9"/>
      <c r="H151" s="11">
        <v>7000</v>
      </c>
    </row>
    <row r="152" spans="1:8" x14ac:dyDescent="0.3">
      <c r="A152" s="8"/>
      <c r="B152" s="9"/>
      <c r="C152" s="8"/>
      <c r="D152" s="16">
        <v>7000</v>
      </c>
      <c r="E152" s="8"/>
      <c r="F152" s="9"/>
      <c r="G152" s="9"/>
      <c r="H152" s="16">
        <v>7000</v>
      </c>
    </row>
    <row r="153" spans="1:8" x14ac:dyDescent="0.3">
      <c r="A153" s="8" t="s">
        <v>164</v>
      </c>
      <c r="B153" s="9" t="s">
        <v>165</v>
      </c>
      <c r="C153" s="8"/>
      <c r="D153" s="11">
        <v>7000</v>
      </c>
      <c r="E153" s="8"/>
      <c r="F153" s="9"/>
      <c r="G153" s="9"/>
      <c r="H153" s="8"/>
    </row>
    <row r="155" spans="1:8" x14ac:dyDescent="0.3">
      <c r="A155" s="14" t="s">
        <v>79</v>
      </c>
      <c r="D155" s="73" t="s">
        <v>215</v>
      </c>
      <c r="E155" s="73"/>
      <c r="H155" s="13" t="s">
        <v>159</v>
      </c>
    </row>
    <row r="156" spans="1:8" x14ac:dyDescent="0.3">
      <c r="A156" s="7" t="s">
        <v>32</v>
      </c>
      <c r="B156" s="7" t="s">
        <v>18</v>
      </c>
      <c r="C156" s="7" t="s">
        <v>158</v>
      </c>
      <c r="D156" s="7" t="s">
        <v>158</v>
      </c>
      <c r="E156" s="7" t="s">
        <v>32</v>
      </c>
      <c r="F156" s="7" t="s">
        <v>18</v>
      </c>
      <c r="G156" s="7" t="s">
        <v>158</v>
      </c>
      <c r="H156" s="7" t="s">
        <v>158</v>
      </c>
    </row>
    <row r="157" spans="1:8" x14ac:dyDescent="0.3">
      <c r="A157" s="8" t="s">
        <v>156</v>
      </c>
      <c r="B157" s="9" t="s">
        <v>199</v>
      </c>
      <c r="C157" s="8"/>
      <c r="D157" s="11">
        <v>11000</v>
      </c>
      <c r="E157" s="8" t="s">
        <v>128</v>
      </c>
      <c r="F157" s="15" t="s">
        <v>189</v>
      </c>
      <c r="G157" s="9"/>
      <c r="H157" s="11">
        <v>11000</v>
      </c>
    </row>
    <row r="158" spans="1:8" x14ac:dyDescent="0.3">
      <c r="A158" s="8"/>
      <c r="B158" s="9"/>
      <c r="C158" s="8"/>
      <c r="D158" s="16">
        <v>11000</v>
      </c>
      <c r="E158" s="8"/>
      <c r="F158" s="9"/>
      <c r="G158" s="9"/>
      <c r="H158" s="16">
        <v>11000</v>
      </c>
    </row>
    <row r="159" spans="1:8" x14ac:dyDescent="0.3">
      <c r="A159" s="8"/>
      <c r="B159" s="9"/>
      <c r="C159" s="8"/>
      <c r="D159" s="8"/>
      <c r="E159" s="8" t="s">
        <v>164</v>
      </c>
      <c r="F159" s="9" t="s">
        <v>200</v>
      </c>
      <c r="G159" s="9"/>
      <c r="H159" s="11">
        <v>11000</v>
      </c>
    </row>
    <row r="161" spans="1:8" x14ac:dyDescent="0.3">
      <c r="A161" s="14" t="s">
        <v>79</v>
      </c>
      <c r="D161" s="73" t="s">
        <v>134</v>
      </c>
      <c r="E161" s="73"/>
      <c r="H161" s="13" t="s">
        <v>159</v>
      </c>
    </row>
    <row r="162" spans="1:8" x14ac:dyDescent="0.3">
      <c r="A162" s="7" t="s">
        <v>32</v>
      </c>
      <c r="B162" s="7" t="s">
        <v>18</v>
      </c>
      <c r="C162" s="7" t="s">
        <v>158</v>
      </c>
      <c r="D162" s="7" t="s">
        <v>158</v>
      </c>
      <c r="E162" s="7" t="s">
        <v>32</v>
      </c>
      <c r="F162" s="7" t="s">
        <v>18</v>
      </c>
      <c r="G162" s="7" t="s">
        <v>158</v>
      </c>
      <c r="H162" s="7" t="s">
        <v>158</v>
      </c>
    </row>
    <row r="163" spans="1:8" x14ac:dyDescent="0.3">
      <c r="A163" s="8" t="s">
        <v>133</v>
      </c>
      <c r="B163" s="9" t="s">
        <v>81</v>
      </c>
      <c r="C163" s="8"/>
      <c r="D163" s="11">
        <v>15000</v>
      </c>
      <c r="E163" s="8" t="s">
        <v>156</v>
      </c>
      <c r="F163" s="15" t="s">
        <v>178</v>
      </c>
      <c r="G163" s="9"/>
      <c r="H163" s="11">
        <v>15000</v>
      </c>
    </row>
    <row r="164" spans="1:8" x14ac:dyDescent="0.3">
      <c r="A164" s="8"/>
      <c r="B164" s="9"/>
      <c r="C164" s="8"/>
      <c r="D164" s="16">
        <v>15000</v>
      </c>
      <c r="E164" s="8"/>
      <c r="F164" s="9"/>
      <c r="G164" s="9"/>
      <c r="H164" s="16">
        <v>15000</v>
      </c>
    </row>
    <row r="165" spans="1:8" x14ac:dyDescent="0.3">
      <c r="A165" s="8" t="s">
        <v>164</v>
      </c>
      <c r="B165" s="9" t="s">
        <v>165</v>
      </c>
      <c r="C165" s="8"/>
      <c r="D165" s="11">
        <v>15000</v>
      </c>
      <c r="E165" s="8"/>
      <c r="F165" s="9"/>
      <c r="G165" s="9"/>
      <c r="H165" s="8"/>
    </row>
    <row r="167" spans="1:8" x14ac:dyDescent="0.3">
      <c r="A167" s="14" t="s">
        <v>79</v>
      </c>
      <c r="D167" s="73" t="s">
        <v>216</v>
      </c>
      <c r="E167" s="73"/>
      <c r="H167" s="13" t="s">
        <v>159</v>
      </c>
    </row>
    <row r="168" spans="1:8" x14ac:dyDescent="0.3">
      <c r="A168" s="7" t="s">
        <v>32</v>
      </c>
      <c r="B168" s="7" t="s">
        <v>18</v>
      </c>
      <c r="C168" s="7" t="s">
        <v>158</v>
      </c>
      <c r="D168" s="7" t="s">
        <v>158</v>
      </c>
      <c r="E168" s="7" t="s">
        <v>32</v>
      </c>
      <c r="F168" s="7" t="s">
        <v>18</v>
      </c>
      <c r="G168" s="7" t="s">
        <v>158</v>
      </c>
      <c r="H168" s="7" t="s">
        <v>158</v>
      </c>
    </row>
    <row r="169" spans="1:8" x14ac:dyDescent="0.3">
      <c r="A169" s="8" t="s">
        <v>136</v>
      </c>
      <c r="B169" s="9" t="s">
        <v>104</v>
      </c>
      <c r="C169" s="8"/>
      <c r="D169" s="11">
        <v>8000</v>
      </c>
      <c r="E169" s="8" t="s">
        <v>156</v>
      </c>
      <c r="F169" s="15" t="s">
        <v>178</v>
      </c>
      <c r="G169" s="9"/>
      <c r="H169" s="11">
        <v>8000</v>
      </c>
    </row>
    <row r="170" spans="1:8" x14ac:dyDescent="0.3">
      <c r="A170" s="8"/>
      <c r="B170" s="9"/>
      <c r="C170" s="8"/>
      <c r="D170" s="16">
        <v>8000</v>
      </c>
      <c r="E170" s="8"/>
      <c r="F170" s="9"/>
      <c r="G170" s="9"/>
      <c r="H170" s="16">
        <v>8000</v>
      </c>
    </row>
    <row r="171" spans="1:8" x14ac:dyDescent="0.3">
      <c r="A171" s="8" t="s">
        <v>164</v>
      </c>
      <c r="B171" s="9" t="s">
        <v>165</v>
      </c>
      <c r="C171" s="8"/>
      <c r="D171" s="11">
        <v>8000</v>
      </c>
      <c r="E171" s="8"/>
      <c r="F171" s="9"/>
      <c r="G171" s="9"/>
      <c r="H171" s="8"/>
    </row>
    <row r="173" spans="1:8" x14ac:dyDescent="0.3">
      <c r="A173" s="14" t="s">
        <v>79</v>
      </c>
      <c r="D173" s="73" t="s">
        <v>217</v>
      </c>
      <c r="E173" s="73"/>
      <c r="H173" s="13" t="s">
        <v>159</v>
      </c>
    </row>
    <row r="174" spans="1:8" x14ac:dyDescent="0.3">
      <c r="A174" s="7" t="s">
        <v>32</v>
      </c>
      <c r="B174" s="7" t="s">
        <v>18</v>
      </c>
      <c r="C174" s="7" t="s">
        <v>158</v>
      </c>
      <c r="D174" s="7" t="s">
        <v>158</v>
      </c>
      <c r="E174" s="7" t="s">
        <v>32</v>
      </c>
      <c r="F174" s="7" t="s">
        <v>18</v>
      </c>
      <c r="G174" s="7" t="s">
        <v>158</v>
      </c>
      <c r="H174" s="7" t="s">
        <v>158</v>
      </c>
    </row>
    <row r="175" spans="1:8" x14ac:dyDescent="0.3">
      <c r="A175" s="8" t="s">
        <v>139</v>
      </c>
      <c r="B175" s="9" t="s">
        <v>81</v>
      </c>
      <c r="C175" s="8"/>
      <c r="D175" s="11">
        <v>5000</v>
      </c>
      <c r="E175" s="8" t="s">
        <v>156</v>
      </c>
      <c r="F175" s="15" t="s">
        <v>178</v>
      </c>
      <c r="G175" s="9"/>
      <c r="H175" s="11">
        <v>5000</v>
      </c>
    </row>
    <row r="176" spans="1:8" x14ac:dyDescent="0.3">
      <c r="A176" s="8"/>
      <c r="B176" s="9"/>
      <c r="C176" s="8"/>
      <c r="D176" s="16">
        <v>5000</v>
      </c>
      <c r="E176" s="8"/>
      <c r="F176" s="9"/>
      <c r="G176" s="9"/>
      <c r="H176" s="16">
        <v>5000</v>
      </c>
    </row>
    <row r="177" spans="1:8" x14ac:dyDescent="0.3">
      <c r="A177" s="8" t="s">
        <v>164</v>
      </c>
      <c r="B177" s="9" t="s">
        <v>165</v>
      </c>
      <c r="C177" s="8"/>
      <c r="D177" s="11">
        <v>5000</v>
      </c>
      <c r="E177" s="8"/>
      <c r="F177" s="9"/>
      <c r="G177" s="9"/>
      <c r="H177" s="8"/>
    </row>
    <row r="179" spans="1:8" x14ac:dyDescent="0.3">
      <c r="A179" s="14" t="s">
        <v>79</v>
      </c>
      <c r="D179" s="73" t="s">
        <v>218</v>
      </c>
      <c r="E179" s="73"/>
      <c r="H179" s="13" t="s">
        <v>159</v>
      </c>
    </row>
    <row r="180" spans="1:8" x14ac:dyDescent="0.3">
      <c r="A180" s="7" t="s">
        <v>32</v>
      </c>
      <c r="B180" s="7" t="s">
        <v>18</v>
      </c>
      <c r="C180" s="7" t="s">
        <v>158</v>
      </c>
      <c r="D180" s="7" t="s">
        <v>158</v>
      </c>
      <c r="E180" s="7" t="s">
        <v>32</v>
      </c>
      <c r="F180" s="7" t="s">
        <v>18</v>
      </c>
      <c r="G180" s="7" t="s">
        <v>158</v>
      </c>
      <c r="H180" s="7" t="s">
        <v>158</v>
      </c>
    </row>
    <row r="181" spans="1:8" x14ac:dyDescent="0.3">
      <c r="A181" s="8" t="s">
        <v>156</v>
      </c>
      <c r="B181" s="9" t="s">
        <v>199</v>
      </c>
      <c r="C181" s="8"/>
      <c r="D181" s="11">
        <v>4000</v>
      </c>
      <c r="E181" s="8" t="s">
        <v>141</v>
      </c>
      <c r="F181" s="15" t="s">
        <v>112</v>
      </c>
      <c r="G181" s="9"/>
      <c r="H181" s="11">
        <v>4000</v>
      </c>
    </row>
    <row r="182" spans="1:8" x14ac:dyDescent="0.3">
      <c r="A182" s="8"/>
      <c r="B182" s="9"/>
      <c r="C182" s="8"/>
      <c r="D182" s="16">
        <v>4000</v>
      </c>
      <c r="E182" s="8"/>
      <c r="F182" s="9"/>
      <c r="G182" s="9"/>
      <c r="H182" s="16">
        <v>4000</v>
      </c>
    </row>
    <row r="183" spans="1:8" x14ac:dyDescent="0.3">
      <c r="A183" s="8"/>
      <c r="B183" s="9"/>
      <c r="C183" s="8"/>
      <c r="D183" s="8"/>
      <c r="E183" s="8" t="s">
        <v>164</v>
      </c>
      <c r="F183" s="9" t="s">
        <v>200</v>
      </c>
      <c r="G183" s="9"/>
      <c r="H183" s="11">
        <v>4000</v>
      </c>
    </row>
    <row r="185" spans="1:8" x14ac:dyDescent="0.3">
      <c r="A185" s="14" t="s">
        <v>79</v>
      </c>
      <c r="D185" s="73" t="s">
        <v>219</v>
      </c>
      <c r="E185" s="73"/>
      <c r="H185" s="13" t="s">
        <v>159</v>
      </c>
    </row>
    <row r="186" spans="1:8" x14ac:dyDescent="0.3">
      <c r="A186" s="7" t="s">
        <v>32</v>
      </c>
      <c r="B186" s="7" t="s">
        <v>18</v>
      </c>
      <c r="C186" s="7" t="s">
        <v>158</v>
      </c>
      <c r="D186" s="7" t="s">
        <v>158</v>
      </c>
      <c r="E186" s="7" t="s">
        <v>32</v>
      </c>
      <c r="F186" s="7" t="s">
        <v>18</v>
      </c>
      <c r="G186" s="7" t="s">
        <v>158</v>
      </c>
      <c r="H186" s="7" t="s">
        <v>158</v>
      </c>
    </row>
    <row r="187" spans="1:8" x14ac:dyDescent="0.3">
      <c r="A187" s="8" t="s">
        <v>145</v>
      </c>
      <c r="B187" s="9" t="s">
        <v>81</v>
      </c>
      <c r="C187" s="8"/>
      <c r="D187" s="11">
        <v>10000</v>
      </c>
      <c r="E187" s="8" t="s">
        <v>156</v>
      </c>
      <c r="F187" s="15" t="s">
        <v>178</v>
      </c>
      <c r="G187" s="9"/>
      <c r="H187" s="11">
        <v>10000</v>
      </c>
    </row>
    <row r="188" spans="1:8" x14ac:dyDescent="0.3">
      <c r="A188" s="8"/>
      <c r="B188" s="9"/>
      <c r="C188" s="8"/>
      <c r="D188" s="16">
        <v>10000</v>
      </c>
      <c r="E188" s="8"/>
      <c r="F188" s="9"/>
      <c r="G188" s="9"/>
      <c r="H188" s="16">
        <v>10000</v>
      </c>
    </row>
    <row r="189" spans="1:8" x14ac:dyDescent="0.3">
      <c r="A189" s="8" t="s">
        <v>164</v>
      </c>
      <c r="B189" s="9" t="s">
        <v>165</v>
      </c>
      <c r="C189" s="8"/>
      <c r="D189" s="11">
        <v>10000</v>
      </c>
      <c r="E189" s="8"/>
      <c r="F189" s="9"/>
      <c r="G189" s="9"/>
      <c r="H189" s="8"/>
    </row>
    <row r="191" spans="1:8" x14ac:dyDescent="0.3">
      <c r="A191" s="14" t="s">
        <v>79</v>
      </c>
      <c r="D191" s="73" t="s">
        <v>220</v>
      </c>
      <c r="E191" s="73"/>
      <c r="H191" s="13" t="s">
        <v>159</v>
      </c>
    </row>
    <row r="192" spans="1:8" x14ac:dyDescent="0.3">
      <c r="A192" s="7" t="s">
        <v>32</v>
      </c>
      <c r="B192" s="7" t="s">
        <v>18</v>
      </c>
      <c r="C192" s="7" t="s">
        <v>158</v>
      </c>
      <c r="D192" s="7" t="s">
        <v>158</v>
      </c>
      <c r="E192" s="7" t="s">
        <v>32</v>
      </c>
      <c r="F192" s="7" t="s">
        <v>18</v>
      </c>
      <c r="G192" s="7" t="s">
        <v>158</v>
      </c>
      <c r="H192" s="7" t="s">
        <v>158</v>
      </c>
    </row>
    <row r="193" spans="1:8" x14ac:dyDescent="0.3">
      <c r="A193" s="8" t="s">
        <v>147</v>
      </c>
      <c r="B193" s="9" t="s">
        <v>81</v>
      </c>
      <c r="C193" s="8"/>
      <c r="D193" s="11">
        <v>3500</v>
      </c>
      <c r="E193" s="8" t="s">
        <v>156</v>
      </c>
      <c r="F193" s="15" t="s">
        <v>178</v>
      </c>
      <c r="G193" s="9"/>
      <c r="H193" s="11">
        <v>3500</v>
      </c>
    </row>
    <row r="194" spans="1:8" x14ac:dyDescent="0.3">
      <c r="A194" s="8"/>
      <c r="B194" s="9"/>
      <c r="C194" s="8"/>
      <c r="D194" s="16">
        <v>3500</v>
      </c>
      <c r="E194" s="8"/>
      <c r="F194" s="9"/>
      <c r="G194" s="9"/>
      <c r="H194" s="16">
        <v>3500</v>
      </c>
    </row>
    <row r="195" spans="1:8" x14ac:dyDescent="0.3">
      <c r="A195" s="8" t="s">
        <v>164</v>
      </c>
      <c r="B195" s="9" t="s">
        <v>165</v>
      </c>
      <c r="C195" s="8"/>
      <c r="D195" s="11">
        <v>3500</v>
      </c>
      <c r="E195" s="8"/>
      <c r="F195" s="9"/>
      <c r="G195" s="9"/>
      <c r="H195" s="8"/>
    </row>
    <row r="197" spans="1:8" x14ac:dyDescent="0.3">
      <c r="A197" s="14" t="s">
        <v>79</v>
      </c>
      <c r="D197" s="73" t="s">
        <v>221</v>
      </c>
      <c r="E197" s="73"/>
      <c r="H197" s="13" t="s">
        <v>159</v>
      </c>
    </row>
    <row r="198" spans="1:8" x14ac:dyDescent="0.3">
      <c r="A198" s="7" t="s">
        <v>32</v>
      </c>
      <c r="B198" s="7" t="s">
        <v>18</v>
      </c>
      <c r="C198" s="7" t="s">
        <v>158</v>
      </c>
      <c r="D198" s="7" t="s">
        <v>158</v>
      </c>
      <c r="E198" s="7" t="s">
        <v>32</v>
      </c>
      <c r="F198" s="7" t="s">
        <v>18</v>
      </c>
      <c r="G198" s="7" t="s">
        <v>158</v>
      </c>
      <c r="H198" s="7" t="s">
        <v>158</v>
      </c>
    </row>
    <row r="199" spans="1:8" x14ac:dyDescent="0.3">
      <c r="A199" s="8" t="s">
        <v>211</v>
      </c>
      <c r="B199" s="9" t="s">
        <v>185</v>
      </c>
      <c r="C199" s="8"/>
      <c r="D199" s="11">
        <v>80000</v>
      </c>
      <c r="E199" s="8" t="s">
        <v>156</v>
      </c>
      <c r="F199" s="15" t="s">
        <v>178</v>
      </c>
      <c r="G199" s="9"/>
      <c r="H199" s="11">
        <v>110000</v>
      </c>
    </row>
    <row r="200" spans="1:8" x14ac:dyDescent="0.3">
      <c r="A200" s="8" t="s">
        <v>150</v>
      </c>
      <c r="B200" s="9" t="s">
        <v>81</v>
      </c>
      <c r="C200" s="8"/>
      <c r="D200" s="11">
        <v>30000</v>
      </c>
      <c r="E200" s="8"/>
      <c r="F200" s="9"/>
      <c r="G200" s="9"/>
      <c r="H200" s="8"/>
    </row>
    <row r="201" spans="1:8" x14ac:dyDescent="0.3">
      <c r="A201" s="8"/>
      <c r="B201" s="9"/>
      <c r="C201" s="8"/>
      <c r="D201" s="16">
        <v>110000</v>
      </c>
      <c r="E201" s="8"/>
      <c r="F201" s="9"/>
      <c r="G201" s="9"/>
      <c r="H201" s="16">
        <v>110000</v>
      </c>
    </row>
    <row r="202" spans="1:8" x14ac:dyDescent="0.3">
      <c r="A202" s="8" t="s">
        <v>164</v>
      </c>
      <c r="B202" s="9" t="s">
        <v>165</v>
      </c>
      <c r="C202" s="8"/>
      <c r="D202" s="11">
        <v>110000</v>
      </c>
      <c r="E202" s="8"/>
      <c r="F202" s="9"/>
      <c r="G202" s="9"/>
      <c r="H202" s="8"/>
    </row>
    <row r="204" spans="1:8" x14ac:dyDescent="0.3">
      <c r="A204" s="14" t="s">
        <v>79</v>
      </c>
      <c r="D204" s="73" t="s">
        <v>222</v>
      </c>
      <c r="E204" s="73"/>
      <c r="H204" s="13" t="s">
        <v>159</v>
      </c>
    </row>
    <row r="205" spans="1:8" x14ac:dyDescent="0.3">
      <c r="A205" s="7" t="s">
        <v>32</v>
      </c>
      <c r="B205" s="7" t="s">
        <v>18</v>
      </c>
      <c r="C205" s="7" t="s">
        <v>158</v>
      </c>
      <c r="D205" s="7" t="s">
        <v>158</v>
      </c>
      <c r="E205" s="7" t="s">
        <v>32</v>
      </c>
      <c r="F205" s="7" t="s">
        <v>18</v>
      </c>
      <c r="G205" s="7" t="s">
        <v>158</v>
      </c>
      <c r="H205" s="7" t="s">
        <v>158</v>
      </c>
    </row>
    <row r="206" spans="1:8" x14ac:dyDescent="0.3">
      <c r="A206" s="8" t="s">
        <v>153</v>
      </c>
      <c r="B206" s="9" t="s">
        <v>81</v>
      </c>
      <c r="C206" s="8"/>
      <c r="D206" s="11">
        <v>7000</v>
      </c>
      <c r="E206" s="8" t="s">
        <v>156</v>
      </c>
      <c r="F206" s="15" t="s">
        <v>178</v>
      </c>
      <c r="G206" s="9"/>
      <c r="H206" s="11">
        <v>7000</v>
      </c>
    </row>
    <row r="207" spans="1:8" x14ac:dyDescent="0.3">
      <c r="A207" s="8"/>
      <c r="B207" s="9"/>
      <c r="C207" s="8"/>
      <c r="D207" s="16">
        <v>7000</v>
      </c>
      <c r="E207" s="8"/>
      <c r="F207" s="9"/>
      <c r="G207" s="9"/>
      <c r="H207" s="16">
        <v>7000</v>
      </c>
    </row>
    <row r="208" spans="1:8" x14ac:dyDescent="0.3">
      <c r="A208" s="8" t="s">
        <v>164</v>
      </c>
      <c r="B208" s="9" t="s">
        <v>165</v>
      </c>
      <c r="C208" s="8"/>
      <c r="D208" s="11">
        <v>7000</v>
      </c>
      <c r="E208" s="8"/>
      <c r="F208" s="9"/>
      <c r="G208" s="9"/>
      <c r="H208" s="8"/>
    </row>
    <row r="210" spans="1:8" x14ac:dyDescent="0.3">
      <c r="A210" s="14" t="s">
        <v>79</v>
      </c>
      <c r="D210" s="73" t="s">
        <v>237</v>
      </c>
      <c r="E210" s="73"/>
      <c r="H210" s="13" t="s">
        <v>159</v>
      </c>
    </row>
    <row r="211" spans="1:8" x14ac:dyDescent="0.3">
      <c r="A211" s="7" t="s">
        <v>32</v>
      </c>
      <c r="B211" s="7" t="s">
        <v>18</v>
      </c>
      <c r="C211" s="7" t="s">
        <v>158</v>
      </c>
      <c r="D211" s="7" t="s">
        <v>158</v>
      </c>
      <c r="E211" s="7" t="s">
        <v>32</v>
      </c>
      <c r="F211" s="7" t="s">
        <v>18</v>
      </c>
      <c r="G211" s="7" t="s">
        <v>158</v>
      </c>
      <c r="H211" s="7" t="s">
        <v>158</v>
      </c>
    </row>
    <row r="212" spans="1:8" x14ac:dyDescent="0.3">
      <c r="A212" s="8" t="s">
        <v>211</v>
      </c>
      <c r="B212" s="9" t="s">
        <v>185</v>
      </c>
      <c r="C212" s="8"/>
      <c r="D212" s="11">
        <v>120000</v>
      </c>
      <c r="E212" s="8" t="s">
        <v>156</v>
      </c>
      <c r="F212" s="15" t="s">
        <v>178</v>
      </c>
      <c r="G212" s="9"/>
      <c r="H212" s="11">
        <v>120000</v>
      </c>
    </row>
    <row r="213" spans="1:8" x14ac:dyDescent="0.3">
      <c r="A213" s="8"/>
      <c r="B213" s="9"/>
      <c r="C213" s="8"/>
      <c r="D213" s="16">
        <v>120000</v>
      </c>
      <c r="E213" s="8"/>
      <c r="F213" s="9"/>
      <c r="G213" s="9"/>
      <c r="H213" s="16">
        <v>120000</v>
      </c>
    </row>
    <row r="214" spans="1:8" x14ac:dyDescent="0.3">
      <c r="A214" s="8" t="s">
        <v>164</v>
      </c>
      <c r="B214" s="9" t="s">
        <v>165</v>
      </c>
      <c r="C214" s="8"/>
      <c r="D214" s="11">
        <v>120000</v>
      </c>
      <c r="E214" s="8"/>
      <c r="F214" s="9"/>
      <c r="G214" s="9"/>
      <c r="H214" s="8"/>
    </row>
    <row r="216" spans="1:8" x14ac:dyDescent="0.3">
      <c r="A216" s="14" t="s">
        <v>79</v>
      </c>
      <c r="D216" s="73" t="s">
        <v>228</v>
      </c>
      <c r="E216" s="73"/>
      <c r="H216" s="13" t="s">
        <v>159</v>
      </c>
    </row>
    <row r="217" spans="1:8" x14ac:dyDescent="0.3">
      <c r="A217" s="7" t="s">
        <v>32</v>
      </c>
      <c r="B217" s="7" t="s">
        <v>18</v>
      </c>
      <c r="C217" s="7" t="s">
        <v>158</v>
      </c>
      <c r="D217" s="7" t="s">
        <v>158</v>
      </c>
      <c r="E217" s="7" t="s">
        <v>32</v>
      </c>
      <c r="F217" s="7" t="s">
        <v>18</v>
      </c>
      <c r="G217" s="7" t="s">
        <v>158</v>
      </c>
      <c r="H217" s="7" t="s">
        <v>158</v>
      </c>
    </row>
    <row r="218" spans="1:8" x14ac:dyDescent="0.3">
      <c r="A218" s="8" t="s">
        <v>211</v>
      </c>
      <c r="B218" s="9" t="s">
        <v>185</v>
      </c>
      <c r="C218" s="8"/>
      <c r="D218" s="11">
        <v>400000</v>
      </c>
      <c r="E218" s="8" t="s">
        <v>156</v>
      </c>
      <c r="F218" s="15" t="s">
        <v>178</v>
      </c>
      <c r="G218" s="9"/>
      <c r="H218" s="11">
        <v>400000</v>
      </c>
    </row>
    <row r="219" spans="1:8" x14ac:dyDescent="0.3">
      <c r="A219" s="8"/>
      <c r="B219" s="9"/>
      <c r="C219" s="8"/>
      <c r="D219" s="16">
        <v>400000</v>
      </c>
      <c r="E219" s="8"/>
      <c r="F219" s="9"/>
      <c r="G219" s="9"/>
      <c r="H219" s="16">
        <v>400000</v>
      </c>
    </row>
    <row r="220" spans="1:8" x14ac:dyDescent="0.3">
      <c r="A220" s="8" t="s">
        <v>164</v>
      </c>
      <c r="B220" s="9" t="s">
        <v>165</v>
      </c>
      <c r="C220" s="8"/>
      <c r="D220" s="11">
        <v>400000</v>
      </c>
      <c r="E220" s="8"/>
      <c r="F220" s="9"/>
      <c r="G220" s="9"/>
      <c r="H220" s="8"/>
    </row>
    <row r="222" spans="1:8" x14ac:dyDescent="0.3">
      <c r="A222" s="14" t="s">
        <v>79</v>
      </c>
      <c r="D222" s="73" t="s">
        <v>229</v>
      </c>
      <c r="E222" s="73"/>
      <c r="H222" s="13" t="s">
        <v>159</v>
      </c>
    </row>
    <row r="223" spans="1:8" x14ac:dyDescent="0.3">
      <c r="A223" s="7" t="s">
        <v>32</v>
      </c>
      <c r="B223" s="7" t="s">
        <v>18</v>
      </c>
      <c r="C223" s="7" t="s">
        <v>158</v>
      </c>
      <c r="D223" s="7" t="s">
        <v>158</v>
      </c>
      <c r="E223" s="7" t="s">
        <v>32</v>
      </c>
      <c r="F223" s="7" t="s">
        <v>18</v>
      </c>
      <c r="G223" s="7" t="s">
        <v>158</v>
      </c>
      <c r="H223" s="7" t="s">
        <v>158</v>
      </c>
    </row>
    <row r="224" spans="1:8" x14ac:dyDescent="0.3">
      <c r="A224" s="8" t="s">
        <v>211</v>
      </c>
      <c r="B224" s="9" t="s">
        <v>185</v>
      </c>
      <c r="C224" s="8"/>
      <c r="D224" s="11">
        <v>250000</v>
      </c>
      <c r="E224" s="8" t="s">
        <v>156</v>
      </c>
      <c r="F224" s="15" t="s">
        <v>178</v>
      </c>
      <c r="G224" s="9"/>
      <c r="H224" s="11">
        <v>250000</v>
      </c>
    </row>
    <row r="225" spans="1:8" x14ac:dyDescent="0.3">
      <c r="A225" s="8"/>
      <c r="B225" s="9"/>
      <c r="C225" s="8"/>
      <c r="D225" s="16">
        <v>250000</v>
      </c>
      <c r="E225" s="8"/>
      <c r="F225" s="9"/>
      <c r="G225" s="9"/>
      <c r="H225" s="16">
        <v>250000</v>
      </c>
    </row>
    <row r="226" spans="1:8" x14ac:dyDescent="0.3">
      <c r="A226" s="8" t="s">
        <v>164</v>
      </c>
      <c r="B226" s="9" t="s">
        <v>165</v>
      </c>
      <c r="C226" s="8"/>
      <c r="D226" s="11">
        <v>250000</v>
      </c>
      <c r="E226" s="8"/>
      <c r="F226" s="9"/>
      <c r="G226" s="9"/>
      <c r="H226" s="8"/>
    </row>
    <row r="228" spans="1:8" x14ac:dyDescent="0.3">
      <c r="A228" s="14" t="s">
        <v>79</v>
      </c>
      <c r="D228" s="73" t="s">
        <v>230</v>
      </c>
      <c r="E228" s="73"/>
      <c r="H228" s="13" t="s">
        <v>159</v>
      </c>
    </row>
    <row r="229" spans="1:8" x14ac:dyDescent="0.3">
      <c r="A229" s="7" t="s">
        <v>32</v>
      </c>
      <c r="B229" s="7" t="s">
        <v>18</v>
      </c>
      <c r="C229" s="7" t="s">
        <v>158</v>
      </c>
      <c r="D229" s="7" t="s">
        <v>158</v>
      </c>
      <c r="E229" s="7" t="s">
        <v>32</v>
      </c>
      <c r="F229" s="7" t="s">
        <v>18</v>
      </c>
      <c r="G229" s="7" t="s">
        <v>158</v>
      </c>
      <c r="H229" s="7" t="s">
        <v>158</v>
      </c>
    </row>
    <row r="230" spans="1:8" x14ac:dyDescent="0.3">
      <c r="A230" s="8" t="s">
        <v>156</v>
      </c>
      <c r="B230" s="9" t="s">
        <v>199</v>
      </c>
      <c r="C230" s="8"/>
      <c r="D230" s="11">
        <v>150000</v>
      </c>
      <c r="E230" s="8" t="s">
        <v>211</v>
      </c>
      <c r="F230" s="9" t="s">
        <v>232</v>
      </c>
      <c r="G230" s="8"/>
      <c r="H230" s="11">
        <v>150000</v>
      </c>
    </row>
    <row r="231" spans="1:8" x14ac:dyDescent="0.3">
      <c r="A231" s="8"/>
      <c r="B231" s="9"/>
      <c r="C231" s="8"/>
      <c r="D231" s="16">
        <v>150000</v>
      </c>
      <c r="E231" s="8"/>
      <c r="F231" s="9"/>
      <c r="G231" s="8"/>
      <c r="H231" s="16">
        <v>150000</v>
      </c>
    </row>
    <row r="232" spans="1:8" x14ac:dyDescent="0.3">
      <c r="A232" s="8"/>
      <c r="B232" s="9"/>
      <c r="C232" s="8"/>
      <c r="D232" s="8"/>
      <c r="E232" s="8" t="s">
        <v>164</v>
      </c>
      <c r="F232" s="9" t="s">
        <v>200</v>
      </c>
      <c r="G232" s="9"/>
      <c r="H232" s="11">
        <v>150000</v>
      </c>
    </row>
  </sheetData>
  <mergeCells count="33">
    <mergeCell ref="D222:E222"/>
    <mergeCell ref="D228:E228"/>
    <mergeCell ref="D191:E191"/>
    <mergeCell ref="D197:E197"/>
    <mergeCell ref="D204:E204"/>
    <mergeCell ref="D210:E210"/>
    <mergeCell ref="D216:E216"/>
    <mergeCell ref="D161:E161"/>
    <mergeCell ref="D167:E167"/>
    <mergeCell ref="D173:E173"/>
    <mergeCell ref="D179:E179"/>
    <mergeCell ref="D185:E185"/>
    <mergeCell ref="D129:E129"/>
    <mergeCell ref="D135:E135"/>
    <mergeCell ref="D142:E142"/>
    <mergeCell ref="D149:E149"/>
    <mergeCell ref="D155:E155"/>
    <mergeCell ref="A1:H1"/>
    <mergeCell ref="D16:E16"/>
    <mergeCell ref="D25:E25"/>
    <mergeCell ref="D34:E34"/>
    <mergeCell ref="D54:E54"/>
    <mergeCell ref="D3:E3"/>
    <mergeCell ref="D63:E63"/>
    <mergeCell ref="D71:E71"/>
    <mergeCell ref="D77:E77"/>
    <mergeCell ref="D83:E83"/>
    <mergeCell ref="D89:E89"/>
    <mergeCell ref="D95:E95"/>
    <mergeCell ref="D101:E101"/>
    <mergeCell ref="D111:E111"/>
    <mergeCell ref="D117:E117"/>
    <mergeCell ref="D123:E123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F1DC0-DE9B-487C-96AC-B1E232C15F3E}">
  <dimension ref="A1:D36"/>
  <sheetViews>
    <sheetView zoomScale="75" workbookViewId="0">
      <selection activeCell="B44" sqref="B44"/>
    </sheetView>
  </sheetViews>
  <sheetFormatPr defaultRowHeight="14.4" x14ac:dyDescent="0.3"/>
  <cols>
    <col min="1" max="1" width="12.44140625" style="6" customWidth="1"/>
    <col min="2" max="2" width="40.21875" customWidth="1"/>
    <col min="3" max="3" width="18.5546875" style="6" customWidth="1"/>
    <col min="4" max="4" width="17.109375" style="6" customWidth="1"/>
  </cols>
  <sheetData>
    <row r="1" spans="1:4" ht="18" x14ac:dyDescent="0.35">
      <c r="A1" s="59" t="s">
        <v>233</v>
      </c>
      <c r="B1" s="59"/>
      <c r="C1" s="59"/>
      <c r="D1" s="59"/>
    </row>
    <row r="3" spans="1:4" s="5" customFormat="1" x14ac:dyDescent="0.3">
      <c r="A3" s="7" t="s">
        <v>225</v>
      </c>
      <c r="B3" s="7" t="s">
        <v>226</v>
      </c>
      <c r="C3" s="7" t="s">
        <v>73</v>
      </c>
      <c r="D3" s="7" t="s">
        <v>74</v>
      </c>
    </row>
    <row r="4" spans="1:4" x14ac:dyDescent="0.3">
      <c r="A4" s="8">
        <v>1</v>
      </c>
      <c r="B4" s="9" t="s">
        <v>188</v>
      </c>
      <c r="C4" s="8"/>
      <c r="D4" s="11">
        <v>905000</v>
      </c>
    </row>
    <row r="5" spans="1:4" x14ac:dyDescent="0.3">
      <c r="A5" s="8">
        <v>2</v>
      </c>
      <c r="B5" s="9" t="s">
        <v>76</v>
      </c>
      <c r="C5" s="11">
        <v>320000</v>
      </c>
      <c r="D5" s="8"/>
    </row>
    <row r="6" spans="1:4" x14ac:dyDescent="0.3">
      <c r="A6" s="8">
        <v>3</v>
      </c>
      <c r="B6" s="9" t="s">
        <v>96</v>
      </c>
      <c r="C6" s="8"/>
      <c r="D6" s="11">
        <v>25000</v>
      </c>
    </row>
    <row r="7" spans="1:4" x14ac:dyDescent="0.3">
      <c r="A7" s="8">
        <v>4</v>
      </c>
      <c r="B7" s="9" t="s">
        <v>180</v>
      </c>
      <c r="C7" s="11">
        <v>144500</v>
      </c>
      <c r="D7" s="8"/>
    </row>
    <row r="8" spans="1:4" x14ac:dyDescent="0.3">
      <c r="A8" s="8">
        <v>5</v>
      </c>
      <c r="B8" s="9" t="s">
        <v>83</v>
      </c>
      <c r="C8" s="11">
        <v>25000</v>
      </c>
      <c r="D8" s="8"/>
    </row>
    <row r="9" spans="1:4" x14ac:dyDescent="0.3">
      <c r="A9" s="8">
        <v>6</v>
      </c>
      <c r="B9" s="9" t="s">
        <v>201</v>
      </c>
      <c r="C9" s="8"/>
      <c r="D9" s="11">
        <v>440000</v>
      </c>
    </row>
    <row r="10" spans="1:4" x14ac:dyDescent="0.3">
      <c r="A10" s="8">
        <v>7</v>
      </c>
      <c r="B10" s="9" t="s">
        <v>91</v>
      </c>
      <c r="C10" s="11">
        <v>6000</v>
      </c>
      <c r="D10" s="8"/>
    </row>
    <row r="11" spans="1:4" x14ac:dyDescent="0.3">
      <c r="A11" s="8">
        <v>8</v>
      </c>
      <c r="B11" s="9" t="s">
        <v>94</v>
      </c>
      <c r="C11" s="11">
        <v>18000</v>
      </c>
      <c r="D11" s="8"/>
    </row>
    <row r="12" spans="1:4" x14ac:dyDescent="0.3">
      <c r="A12" s="8">
        <v>9</v>
      </c>
      <c r="B12" s="9" t="s">
        <v>203</v>
      </c>
      <c r="C12" s="8"/>
      <c r="D12" s="11">
        <v>15000</v>
      </c>
    </row>
    <row r="13" spans="1:4" x14ac:dyDescent="0.3">
      <c r="A13" s="8">
        <v>10</v>
      </c>
      <c r="B13" s="9" t="s">
        <v>100</v>
      </c>
      <c r="C13" s="11">
        <v>12000</v>
      </c>
      <c r="D13" s="8"/>
    </row>
    <row r="14" spans="1:4" x14ac:dyDescent="0.3">
      <c r="A14" s="8">
        <v>11</v>
      </c>
      <c r="B14" s="9" t="s">
        <v>103</v>
      </c>
      <c r="C14" s="11">
        <v>60000</v>
      </c>
      <c r="D14" s="8"/>
    </row>
    <row r="15" spans="1:4" x14ac:dyDescent="0.3">
      <c r="A15" s="8">
        <v>12</v>
      </c>
      <c r="B15" s="9" t="s">
        <v>122</v>
      </c>
      <c r="C15" s="11">
        <v>56000</v>
      </c>
      <c r="D15" s="8"/>
    </row>
    <row r="16" spans="1:4" x14ac:dyDescent="0.3">
      <c r="A16" s="8">
        <v>13</v>
      </c>
      <c r="B16" s="9" t="s">
        <v>107</v>
      </c>
      <c r="C16" s="11">
        <v>28000</v>
      </c>
      <c r="D16" s="8"/>
    </row>
    <row r="17" spans="1:4" x14ac:dyDescent="0.3">
      <c r="A17" s="8">
        <v>14</v>
      </c>
      <c r="B17" s="9" t="s">
        <v>109</v>
      </c>
      <c r="C17" s="11">
        <v>8000</v>
      </c>
      <c r="D17" s="8"/>
    </row>
    <row r="18" spans="1:4" x14ac:dyDescent="0.3">
      <c r="A18" s="8">
        <v>15</v>
      </c>
      <c r="B18" s="9" t="s">
        <v>208</v>
      </c>
      <c r="C18" s="8"/>
      <c r="D18" s="11">
        <v>10000</v>
      </c>
    </row>
    <row r="19" spans="1:4" x14ac:dyDescent="0.3">
      <c r="A19" s="8">
        <v>16</v>
      </c>
      <c r="B19" s="9" t="s">
        <v>115</v>
      </c>
      <c r="C19" s="11">
        <v>22000</v>
      </c>
      <c r="D19" s="8"/>
    </row>
    <row r="20" spans="1:4" x14ac:dyDescent="0.3">
      <c r="A20" s="8">
        <v>17</v>
      </c>
      <c r="B20" s="9" t="s">
        <v>209</v>
      </c>
      <c r="C20" s="8"/>
      <c r="D20" s="11">
        <v>150000</v>
      </c>
    </row>
    <row r="21" spans="1:4" x14ac:dyDescent="0.3">
      <c r="A21" s="8">
        <v>18</v>
      </c>
      <c r="B21" s="9" t="s">
        <v>120</v>
      </c>
      <c r="C21" s="11">
        <v>75000</v>
      </c>
      <c r="D21" s="8"/>
    </row>
    <row r="22" spans="1:4" x14ac:dyDescent="0.3">
      <c r="A22" s="8">
        <v>19</v>
      </c>
      <c r="B22" s="9" t="s">
        <v>126</v>
      </c>
      <c r="C22" s="11">
        <v>7000</v>
      </c>
      <c r="D22" s="8"/>
    </row>
    <row r="23" spans="1:4" x14ac:dyDescent="0.3">
      <c r="A23" s="8">
        <v>20</v>
      </c>
      <c r="B23" s="9" t="s">
        <v>215</v>
      </c>
      <c r="C23" s="8"/>
      <c r="D23" s="11">
        <v>11000</v>
      </c>
    </row>
    <row r="24" spans="1:4" x14ac:dyDescent="0.3">
      <c r="A24" s="8">
        <v>21</v>
      </c>
      <c r="B24" s="9" t="s">
        <v>134</v>
      </c>
      <c r="C24" s="11">
        <v>15000</v>
      </c>
      <c r="D24" s="8"/>
    </row>
    <row r="25" spans="1:4" x14ac:dyDescent="0.3">
      <c r="A25" s="8">
        <v>22</v>
      </c>
      <c r="B25" s="9" t="s">
        <v>137</v>
      </c>
      <c r="C25" s="11">
        <v>8000</v>
      </c>
      <c r="D25" s="8"/>
    </row>
    <row r="26" spans="1:4" x14ac:dyDescent="0.3">
      <c r="A26" s="8">
        <v>23</v>
      </c>
      <c r="B26" s="9" t="s">
        <v>140</v>
      </c>
      <c r="C26" s="11">
        <v>5000</v>
      </c>
      <c r="D26" s="8"/>
    </row>
    <row r="27" spans="1:4" x14ac:dyDescent="0.3">
      <c r="A27" s="8">
        <v>24</v>
      </c>
      <c r="B27" s="9" t="s">
        <v>227</v>
      </c>
      <c r="C27" s="8"/>
      <c r="D27" s="11">
        <v>4000</v>
      </c>
    </row>
    <row r="28" spans="1:4" x14ac:dyDescent="0.3">
      <c r="A28" s="8">
        <v>25</v>
      </c>
      <c r="B28" s="9" t="s">
        <v>146</v>
      </c>
      <c r="C28" s="11">
        <v>10000</v>
      </c>
      <c r="D28" s="8"/>
    </row>
    <row r="29" spans="1:4" x14ac:dyDescent="0.3">
      <c r="A29" s="8">
        <v>26</v>
      </c>
      <c r="B29" s="9" t="s">
        <v>148</v>
      </c>
      <c r="C29" s="11">
        <v>3500</v>
      </c>
      <c r="D29" s="8"/>
    </row>
    <row r="30" spans="1:4" x14ac:dyDescent="0.3">
      <c r="A30" s="8">
        <v>27</v>
      </c>
      <c r="B30" s="9" t="s">
        <v>181</v>
      </c>
      <c r="C30" s="11">
        <v>110000</v>
      </c>
      <c r="D30" s="8"/>
    </row>
    <row r="31" spans="1:4" x14ac:dyDescent="0.3">
      <c r="A31" s="8">
        <v>28</v>
      </c>
      <c r="B31" s="9" t="s">
        <v>222</v>
      </c>
      <c r="C31" s="11">
        <v>7000</v>
      </c>
      <c r="D31" s="8"/>
    </row>
    <row r="32" spans="1:4" x14ac:dyDescent="0.3">
      <c r="A32" s="8">
        <v>29</v>
      </c>
      <c r="B32" s="9" t="s">
        <v>236</v>
      </c>
      <c r="C32" s="11">
        <v>120000</v>
      </c>
      <c r="D32" s="8"/>
    </row>
    <row r="33" spans="1:4" x14ac:dyDescent="0.3">
      <c r="A33" s="8">
        <v>30</v>
      </c>
      <c r="B33" s="9" t="s">
        <v>182</v>
      </c>
      <c r="C33" s="11">
        <v>400000</v>
      </c>
      <c r="D33" s="8"/>
    </row>
    <row r="34" spans="1:4" x14ac:dyDescent="0.3">
      <c r="A34" s="8">
        <v>31</v>
      </c>
      <c r="B34" s="9" t="s">
        <v>183</v>
      </c>
      <c r="C34" s="11">
        <v>250000</v>
      </c>
      <c r="D34" s="8"/>
    </row>
    <row r="35" spans="1:4" x14ac:dyDescent="0.3">
      <c r="A35" s="8">
        <v>32</v>
      </c>
      <c r="B35" s="9" t="s">
        <v>231</v>
      </c>
      <c r="C35" s="8"/>
      <c r="D35" s="11">
        <v>150000</v>
      </c>
    </row>
    <row r="36" spans="1:4" x14ac:dyDescent="0.3">
      <c r="A36" s="8"/>
      <c r="B36" s="9"/>
      <c r="C36" s="16">
        <f>SUM(C5:C34)</f>
        <v>1710000</v>
      </c>
      <c r="D36" s="16">
        <f>SUM(D4:D35)</f>
        <v>1710000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4CB62-50B2-4697-9203-50347E5D3026}">
  <dimension ref="A1:F15"/>
  <sheetViews>
    <sheetView workbookViewId="0">
      <selection activeCell="F5" sqref="F5"/>
    </sheetView>
  </sheetViews>
  <sheetFormatPr defaultRowHeight="14.4" x14ac:dyDescent="0.3"/>
  <cols>
    <col min="1" max="1" width="29.88671875" customWidth="1"/>
    <col min="2" max="2" width="15.21875" style="6" customWidth="1"/>
    <col min="3" max="3" width="14.33203125" style="6" customWidth="1"/>
    <col min="4" max="4" width="35.109375" customWidth="1"/>
    <col min="5" max="5" width="16" style="6" customWidth="1"/>
    <col min="6" max="6" width="16.5546875" style="6" customWidth="1"/>
  </cols>
  <sheetData>
    <row r="1" spans="1:6" ht="18" x14ac:dyDescent="0.35">
      <c r="A1" s="59" t="s">
        <v>234</v>
      </c>
      <c r="B1" s="59"/>
      <c r="C1" s="59"/>
      <c r="D1" s="59"/>
      <c r="E1" s="59"/>
      <c r="F1" s="59"/>
    </row>
    <row r="2" spans="1:6" x14ac:dyDescent="0.3">
      <c r="A2" s="14" t="s">
        <v>79</v>
      </c>
      <c r="F2" s="13" t="s">
        <v>159</v>
      </c>
    </row>
    <row r="3" spans="1:6" s="5" customFormat="1" x14ac:dyDescent="0.3">
      <c r="A3" s="7" t="s">
        <v>18</v>
      </c>
      <c r="B3" s="7" t="s">
        <v>158</v>
      </c>
      <c r="C3" s="25" t="s">
        <v>158</v>
      </c>
      <c r="D3" s="7" t="s">
        <v>226</v>
      </c>
      <c r="E3" s="7" t="s">
        <v>158</v>
      </c>
      <c r="F3" s="25" t="s">
        <v>158</v>
      </c>
    </row>
    <row r="4" spans="1:6" x14ac:dyDescent="0.3">
      <c r="A4" s="22" t="s">
        <v>235</v>
      </c>
      <c r="B4" s="26"/>
      <c r="C4" s="30">
        <v>120000</v>
      </c>
      <c r="D4" s="23" t="s">
        <v>242</v>
      </c>
      <c r="E4" s="27">
        <v>440000</v>
      </c>
      <c r="F4" s="20"/>
    </row>
    <row r="5" spans="1:6" x14ac:dyDescent="0.3">
      <c r="A5" s="23" t="s">
        <v>238</v>
      </c>
      <c r="B5" s="27">
        <v>320000</v>
      </c>
      <c r="C5" s="26"/>
      <c r="D5" s="23" t="s">
        <v>244</v>
      </c>
      <c r="E5" s="28">
        <v>12000</v>
      </c>
      <c r="F5" s="21">
        <f>E4-E5</f>
        <v>428000</v>
      </c>
    </row>
    <row r="6" spans="1:6" x14ac:dyDescent="0.3">
      <c r="A6" s="23" t="s">
        <v>239</v>
      </c>
      <c r="B6" s="28">
        <v>15000</v>
      </c>
      <c r="C6" s="27">
        <f>B5-B6</f>
        <v>305000</v>
      </c>
      <c r="D6" s="23" t="s">
        <v>243</v>
      </c>
      <c r="E6" s="26"/>
      <c r="F6" s="21">
        <v>140000</v>
      </c>
    </row>
    <row r="7" spans="1:6" x14ac:dyDescent="0.3">
      <c r="A7" s="31" t="s">
        <v>240</v>
      </c>
      <c r="B7" s="26"/>
      <c r="C7" s="26"/>
      <c r="D7" s="23"/>
      <c r="E7" s="26"/>
      <c r="F7" s="20"/>
    </row>
    <row r="8" spans="1:6" x14ac:dyDescent="0.3">
      <c r="A8" s="23" t="s">
        <v>91</v>
      </c>
      <c r="B8" s="26"/>
      <c r="C8" s="27">
        <v>6000</v>
      </c>
      <c r="D8" s="23"/>
      <c r="E8" s="26"/>
      <c r="F8" s="20"/>
    </row>
    <row r="9" spans="1:6" x14ac:dyDescent="0.3">
      <c r="A9" s="23" t="s">
        <v>94</v>
      </c>
      <c r="B9" s="26"/>
      <c r="C9" s="27">
        <v>18000</v>
      </c>
      <c r="D9" s="23"/>
      <c r="E9" s="26"/>
      <c r="F9" s="20"/>
    </row>
    <row r="10" spans="1:6" x14ac:dyDescent="0.3">
      <c r="A10" s="23" t="s">
        <v>241</v>
      </c>
      <c r="B10" s="26"/>
      <c r="C10" s="27">
        <v>119000</v>
      </c>
      <c r="D10" s="23"/>
      <c r="E10" s="26"/>
      <c r="F10" s="20"/>
    </row>
    <row r="11" spans="1:6" x14ac:dyDescent="0.3">
      <c r="A11" s="24"/>
      <c r="B11" s="29"/>
      <c r="C11" s="16">
        <f>F11</f>
        <v>568000</v>
      </c>
      <c r="D11" s="24"/>
      <c r="E11" s="29"/>
      <c r="F11" s="16">
        <f>SUM(F5:F6)</f>
        <v>568000</v>
      </c>
    </row>
    <row r="15" spans="1:6" x14ac:dyDescent="0.3">
      <c r="C15" s="17"/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64FE5-625E-4EC9-8D1E-72A2580CB157}">
  <dimension ref="A1:H21"/>
  <sheetViews>
    <sheetView zoomScale="84" workbookViewId="0">
      <selection sqref="A1:F1"/>
    </sheetView>
  </sheetViews>
  <sheetFormatPr defaultRowHeight="14.4" x14ac:dyDescent="0.3"/>
  <cols>
    <col min="1" max="1" width="31" customWidth="1"/>
    <col min="2" max="2" width="17.44140625" style="6" customWidth="1"/>
    <col min="3" max="3" width="16.5546875" style="6" customWidth="1"/>
    <col min="4" max="4" width="33.88671875" customWidth="1"/>
    <col min="5" max="5" width="16.44140625" style="6" customWidth="1"/>
    <col min="6" max="6" width="14.33203125" style="6" customWidth="1"/>
  </cols>
  <sheetData>
    <row r="1" spans="1:8" ht="18" x14ac:dyDescent="0.35">
      <c r="A1" s="59" t="s">
        <v>245</v>
      </c>
      <c r="B1" s="59"/>
      <c r="C1" s="59"/>
      <c r="D1" s="59"/>
      <c r="E1" s="59"/>
      <c r="F1" s="59"/>
    </row>
    <row r="2" spans="1:8" x14ac:dyDescent="0.3">
      <c r="A2" s="14" t="s">
        <v>79</v>
      </c>
      <c r="F2" s="13" t="s">
        <v>159</v>
      </c>
    </row>
    <row r="3" spans="1:8" s="5" customFormat="1" x14ac:dyDescent="0.3">
      <c r="A3" s="7" t="s">
        <v>18</v>
      </c>
      <c r="B3" s="25" t="s">
        <v>158</v>
      </c>
      <c r="C3" s="7" t="s">
        <v>158</v>
      </c>
      <c r="D3" s="7" t="s">
        <v>226</v>
      </c>
      <c r="E3" s="7" t="s">
        <v>158</v>
      </c>
      <c r="F3" s="7" t="s">
        <v>158</v>
      </c>
    </row>
    <row r="4" spans="1:8" x14ac:dyDescent="0.3">
      <c r="A4" s="23" t="s">
        <v>246</v>
      </c>
      <c r="B4" s="30">
        <v>28000</v>
      </c>
      <c r="C4" s="32"/>
      <c r="D4" s="22" t="s">
        <v>258</v>
      </c>
      <c r="E4" s="32"/>
      <c r="F4" s="21">
        <v>119000</v>
      </c>
    </row>
    <row r="5" spans="1:8" x14ac:dyDescent="0.3">
      <c r="A5" s="31" t="s">
        <v>247</v>
      </c>
      <c r="B5" s="28">
        <v>4000</v>
      </c>
      <c r="C5" s="27">
        <f>SUM(B4:B5)</f>
        <v>32000</v>
      </c>
      <c r="D5" s="23" t="s">
        <v>259</v>
      </c>
      <c r="E5" s="26"/>
      <c r="F5" s="21">
        <v>10000</v>
      </c>
    </row>
    <row r="6" spans="1:8" x14ac:dyDescent="0.3">
      <c r="A6" s="23" t="s">
        <v>248</v>
      </c>
      <c r="B6" s="26"/>
      <c r="C6" s="27">
        <v>8000</v>
      </c>
      <c r="D6" s="23" t="s">
        <v>261</v>
      </c>
      <c r="E6" s="26"/>
      <c r="F6" s="21">
        <v>4000</v>
      </c>
    </row>
    <row r="7" spans="1:8" x14ac:dyDescent="0.3">
      <c r="A7" s="23" t="s">
        <v>249</v>
      </c>
      <c r="B7" s="26"/>
      <c r="C7" s="27">
        <v>22000</v>
      </c>
      <c r="D7" s="23" t="s">
        <v>260</v>
      </c>
      <c r="E7" s="26"/>
      <c r="F7" s="21">
        <v>11000</v>
      </c>
    </row>
    <row r="8" spans="1:8" x14ac:dyDescent="0.3">
      <c r="A8" s="23" t="s">
        <v>250</v>
      </c>
      <c r="B8" s="26"/>
      <c r="C8" s="27">
        <v>7000</v>
      </c>
      <c r="D8" s="23"/>
      <c r="E8" s="26"/>
      <c r="F8" s="20"/>
    </row>
    <row r="9" spans="1:8" x14ac:dyDescent="0.3">
      <c r="A9" s="23" t="s">
        <v>251</v>
      </c>
      <c r="B9" s="27">
        <v>8000</v>
      </c>
      <c r="C9" s="26"/>
      <c r="D9" s="23"/>
      <c r="E9" s="26"/>
      <c r="F9" s="20"/>
    </row>
    <row r="10" spans="1:8" x14ac:dyDescent="0.3">
      <c r="A10" s="31" t="s">
        <v>252</v>
      </c>
      <c r="B10" s="28">
        <v>2000</v>
      </c>
      <c r="C10" s="27">
        <f>B9-B10</f>
        <v>6000</v>
      </c>
      <c r="D10" s="23"/>
      <c r="E10" s="26"/>
      <c r="F10" s="20"/>
    </row>
    <row r="11" spans="1:8" x14ac:dyDescent="0.3">
      <c r="A11" s="23" t="s">
        <v>253</v>
      </c>
      <c r="B11" s="26"/>
      <c r="C11" s="27">
        <v>5000</v>
      </c>
      <c r="D11" s="23"/>
      <c r="E11" s="26"/>
      <c r="F11" s="20"/>
    </row>
    <row r="12" spans="1:8" x14ac:dyDescent="0.3">
      <c r="A12" s="23" t="s">
        <v>254</v>
      </c>
      <c r="B12" s="26"/>
      <c r="C12" s="27">
        <v>10000</v>
      </c>
      <c r="D12" s="23"/>
      <c r="E12" s="26"/>
      <c r="F12" s="20"/>
    </row>
    <row r="13" spans="1:8" x14ac:dyDescent="0.3">
      <c r="A13" s="23" t="s">
        <v>255</v>
      </c>
      <c r="B13" s="26"/>
      <c r="C13" s="27">
        <v>3500</v>
      </c>
      <c r="D13" s="23"/>
      <c r="E13" s="26"/>
      <c r="F13" s="20"/>
    </row>
    <row r="14" spans="1:8" x14ac:dyDescent="0.3">
      <c r="A14" s="23" t="s">
        <v>256</v>
      </c>
      <c r="B14" s="27">
        <v>7000</v>
      </c>
      <c r="C14" s="26"/>
      <c r="D14" s="23"/>
      <c r="E14" s="26"/>
      <c r="F14" s="20"/>
    </row>
    <row r="15" spans="1:8" x14ac:dyDescent="0.3">
      <c r="A15" s="31" t="s">
        <v>257</v>
      </c>
      <c r="B15" s="28">
        <v>3000</v>
      </c>
      <c r="C15" s="27">
        <f>SUM(B14:B15)</f>
        <v>10000</v>
      </c>
      <c r="D15" s="23"/>
      <c r="E15" s="26"/>
      <c r="F15" s="20"/>
      <c r="H15" s="18"/>
    </row>
    <row r="16" spans="1:8" x14ac:dyDescent="0.3">
      <c r="A16" s="23" t="s">
        <v>263</v>
      </c>
      <c r="B16" s="26"/>
      <c r="C16" s="26">
        <v>500</v>
      </c>
      <c r="D16" s="23"/>
      <c r="E16" s="26"/>
      <c r="F16" s="20"/>
    </row>
    <row r="17" spans="1:6" x14ac:dyDescent="0.3">
      <c r="A17" s="23" t="s">
        <v>264</v>
      </c>
      <c r="B17" s="26"/>
      <c r="C17" s="26">
        <v>458</v>
      </c>
      <c r="D17" s="23"/>
      <c r="E17" s="26"/>
      <c r="F17" s="20"/>
    </row>
    <row r="18" spans="1:6" x14ac:dyDescent="0.3">
      <c r="A18" s="23" t="s">
        <v>262</v>
      </c>
      <c r="B18" s="26"/>
      <c r="C18" s="27">
        <v>2083</v>
      </c>
      <c r="D18" s="23"/>
      <c r="E18" s="26"/>
      <c r="F18" s="20"/>
    </row>
    <row r="19" spans="1:6" x14ac:dyDescent="0.3">
      <c r="A19" s="23" t="s">
        <v>265</v>
      </c>
      <c r="B19" s="26"/>
      <c r="C19" s="27">
        <v>1667</v>
      </c>
      <c r="D19" s="23"/>
      <c r="E19" s="26"/>
      <c r="F19" s="20"/>
    </row>
    <row r="20" spans="1:6" x14ac:dyDescent="0.3">
      <c r="A20" s="23" t="s">
        <v>266</v>
      </c>
      <c r="B20" s="26"/>
      <c r="C20" s="27">
        <v>35792</v>
      </c>
      <c r="D20" s="23"/>
      <c r="E20" s="26"/>
      <c r="F20" s="20"/>
    </row>
    <row r="21" spans="1:6" x14ac:dyDescent="0.3">
      <c r="A21" s="24"/>
      <c r="B21" s="29"/>
      <c r="C21" s="16">
        <f>F21</f>
        <v>144000</v>
      </c>
      <c r="D21" s="24"/>
      <c r="E21" s="29"/>
      <c r="F21" s="16">
        <f>SUM(F4:F7)</f>
        <v>144000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5F584-32EF-4AFE-9CC5-7CE8C8C5E88B}">
  <dimension ref="A1:H24"/>
  <sheetViews>
    <sheetView workbookViewId="0">
      <selection activeCell="C24" sqref="C24"/>
    </sheetView>
  </sheetViews>
  <sheetFormatPr defaultRowHeight="14.4" x14ac:dyDescent="0.3"/>
  <cols>
    <col min="1" max="1" width="26" customWidth="1"/>
    <col min="2" max="2" width="14.21875" style="6" customWidth="1"/>
    <col min="3" max="3" width="14.109375" style="6" customWidth="1"/>
    <col min="4" max="4" width="28.21875" customWidth="1"/>
    <col min="5" max="5" width="15.21875" style="6" customWidth="1"/>
    <col min="6" max="6" width="14.77734375" style="6" customWidth="1"/>
  </cols>
  <sheetData>
    <row r="1" spans="1:8" ht="18" x14ac:dyDescent="0.35">
      <c r="A1" s="59" t="s">
        <v>245</v>
      </c>
      <c r="B1" s="59"/>
      <c r="C1" s="59"/>
      <c r="D1" s="59"/>
      <c r="E1" s="59"/>
      <c r="F1" s="59"/>
    </row>
    <row r="3" spans="1:8" s="5" customFormat="1" x14ac:dyDescent="0.3">
      <c r="A3" s="7" t="s">
        <v>267</v>
      </c>
      <c r="B3" s="7" t="s">
        <v>158</v>
      </c>
      <c r="C3" s="7" t="s">
        <v>158</v>
      </c>
      <c r="D3" s="7" t="s">
        <v>268</v>
      </c>
      <c r="E3" s="7" t="s">
        <v>158</v>
      </c>
      <c r="F3" s="7" t="s">
        <v>158</v>
      </c>
    </row>
    <row r="4" spans="1:8" x14ac:dyDescent="0.3">
      <c r="A4" s="22" t="s">
        <v>269</v>
      </c>
      <c r="B4" s="35">
        <v>905000</v>
      </c>
      <c r="C4" s="32"/>
      <c r="D4" s="38" t="s">
        <v>279</v>
      </c>
      <c r="E4" s="32"/>
      <c r="F4" s="33"/>
    </row>
    <row r="5" spans="1:8" x14ac:dyDescent="0.3">
      <c r="A5" s="31" t="s">
        <v>270</v>
      </c>
      <c r="B5" s="36">
        <v>35792</v>
      </c>
      <c r="C5" s="26"/>
      <c r="D5" s="23" t="s">
        <v>280</v>
      </c>
      <c r="E5" s="27">
        <v>60000</v>
      </c>
      <c r="F5" s="20"/>
    </row>
    <row r="6" spans="1:8" x14ac:dyDescent="0.3">
      <c r="A6" s="23"/>
      <c r="B6" s="21">
        <f>SUM(B4:B5)</f>
        <v>940792</v>
      </c>
      <c r="C6" s="26"/>
      <c r="D6" s="31" t="s">
        <v>281</v>
      </c>
      <c r="E6" s="26">
        <v>500</v>
      </c>
      <c r="F6" s="21">
        <f>E5-E6</f>
        <v>59500</v>
      </c>
    </row>
    <row r="7" spans="1:8" x14ac:dyDescent="0.3">
      <c r="A7" s="31" t="s">
        <v>271</v>
      </c>
      <c r="B7" s="36">
        <v>15000</v>
      </c>
      <c r="C7" s="27">
        <f>B6-B7</f>
        <v>925792</v>
      </c>
      <c r="D7" s="23" t="s">
        <v>282</v>
      </c>
      <c r="E7" s="27">
        <v>250000</v>
      </c>
      <c r="F7" s="20"/>
    </row>
    <row r="8" spans="1:8" x14ac:dyDescent="0.3">
      <c r="A8" s="31" t="s">
        <v>272</v>
      </c>
      <c r="B8" s="20"/>
      <c r="C8" s="26"/>
      <c r="D8" s="31" t="s">
        <v>283</v>
      </c>
      <c r="E8" s="27">
        <v>2083</v>
      </c>
      <c r="F8" s="21">
        <f>E7-E8</f>
        <v>247917</v>
      </c>
    </row>
    <row r="9" spans="1:8" x14ac:dyDescent="0.3">
      <c r="A9" s="23" t="s">
        <v>275</v>
      </c>
      <c r="B9" s="20"/>
      <c r="C9" s="27">
        <v>4000</v>
      </c>
      <c r="D9" s="23" t="s">
        <v>284</v>
      </c>
      <c r="E9" s="27">
        <v>110000</v>
      </c>
      <c r="F9" s="20"/>
    </row>
    <row r="10" spans="1:8" x14ac:dyDescent="0.3">
      <c r="A10" s="23" t="s">
        <v>276</v>
      </c>
      <c r="B10" s="20"/>
      <c r="C10" s="27">
        <v>3000</v>
      </c>
      <c r="D10" s="31" t="s">
        <v>281</v>
      </c>
      <c r="E10" s="26">
        <v>458</v>
      </c>
      <c r="F10" s="34">
        <f>E9-E10</f>
        <v>109542</v>
      </c>
    </row>
    <row r="11" spans="1:8" x14ac:dyDescent="0.3">
      <c r="A11" s="31" t="s">
        <v>294</v>
      </c>
      <c r="B11" s="20"/>
      <c r="C11" s="26"/>
      <c r="D11" s="23" t="s">
        <v>285</v>
      </c>
      <c r="E11" s="27">
        <v>400000</v>
      </c>
      <c r="F11" s="20"/>
    </row>
    <row r="12" spans="1:8" x14ac:dyDescent="0.3">
      <c r="A12" s="23" t="s">
        <v>273</v>
      </c>
      <c r="B12" s="20"/>
      <c r="C12" s="27">
        <v>25000</v>
      </c>
      <c r="D12" s="31" t="s">
        <v>286</v>
      </c>
      <c r="E12" s="27">
        <v>1667</v>
      </c>
      <c r="F12" s="21">
        <f>E11-E12</f>
        <v>398333</v>
      </c>
    </row>
    <row r="13" spans="1:8" x14ac:dyDescent="0.3">
      <c r="A13" s="23" t="s">
        <v>274</v>
      </c>
      <c r="B13" s="20"/>
      <c r="C13" s="27">
        <v>150000</v>
      </c>
      <c r="D13" s="31" t="s">
        <v>287</v>
      </c>
      <c r="E13" s="26"/>
      <c r="F13" s="20"/>
    </row>
    <row r="14" spans="1:8" x14ac:dyDescent="0.3">
      <c r="A14" s="31" t="s">
        <v>277</v>
      </c>
      <c r="B14" s="20"/>
      <c r="C14" s="26"/>
      <c r="D14" s="23" t="s">
        <v>288</v>
      </c>
      <c r="E14" s="26"/>
      <c r="F14" s="21">
        <v>144500</v>
      </c>
    </row>
    <row r="15" spans="1:8" x14ac:dyDescent="0.3">
      <c r="A15" s="23" t="s">
        <v>278</v>
      </c>
      <c r="B15" s="20"/>
      <c r="C15" s="27">
        <v>150000</v>
      </c>
      <c r="D15" s="23" t="s">
        <v>21</v>
      </c>
      <c r="E15" s="26"/>
      <c r="F15" s="21">
        <v>56000</v>
      </c>
      <c r="H15" s="18"/>
    </row>
    <row r="16" spans="1:8" x14ac:dyDescent="0.3">
      <c r="A16" s="51"/>
      <c r="B16" s="26"/>
      <c r="D16" s="23" t="s">
        <v>289</v>
      </c>
      <c r="E16" s="26"/>
      <c r="F16" s="21">
        <v>2000</v>
      </c>
    </row>
    <row r="17" spans="1:6" x14ac:dyDescent="0.3">
      <c r="A17" s="51"/>
      <c r="B17" s="26"/>
      <c r="D17" s="23" t="s">
        <v>290</v>
      </c>
      <c r="E17" s="26"/>
      <c r="F17" s="21">
        <v>140000</v>
      </c>
    </row>
    <row r="18" spans="1:6" x14ac:dyDescent="0.3">
      <c r="A18" s="23"/>
      <c r="B18" s="26"/>
      <c r="C18" s="20"/>
      <c r="D18" s="31" t="s">
        <v>291</v>
      </c>
      <c r="E18" s="26"/>
      <c r="F18" s="20"/>
    </row>
    <row r="19" spans="1:6" x14ac:dyDescent="0.3">
      <c r="A19" s="23"/>
      <c r="B19" s="20"/>
      <c r="C19" s="26"/>
      <c r="D19" s="23" t="s">
        <v>292</v>
      </c>
      <c r="E19" s="26"/>
      <c r="F19" s="21">
        <v>25000</v>
      </c>
    </row>
    <row r="20" spans="1:6" x14ac:dyDescent="0.3">
      <c r="A20" s="23"/>
      <c r="B20" s="26"/>
      <c r="C20" s="26"/>
      <c r="D20" s="23" t="s">
        <v>293</v>
      </c>
      <c r="E20" s="26"/>
      <c r="F20" s="21">
        <v>75000</v>
      </c>
    </row>
    <row r="21" spans="1:6" x14ac:dyDescent="0.3">
      <c r="A21" s="24"/>
      <c r="B21" s="37"/>
      <c r="C21" s="16">
        <f>SUM(C7:C15)</f>
        <v>1257792</v>
      </c>
      <c r="D21" s="24"/>
      <c r="E21" s="29"/>
      <c r="F21" s="10">
        <f>SUM(F5:F20)</f>
        <v>1257792</v>
      </c>
    </row>
    <row r="23" spans="1:6" x14ac:dyDescent="0.3">
      <c r="B23" s="17"/>
    </row>
    <row r="24" spans="1:6" x14ac:dyDescent="0.3">
      <c r="C24" s="17"/>
      <c r="F24" s="17"/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E552E-A782-424B-A363-F0B7EDD417EB}">
  <dimension ref="A1:D33"/>
  <sheetViews>
    <sheetView workbookViewId="0">
      <selection activeCell="D16" sqref="D16"/>
    </sheetView>
  </sheetViews>
  <sheetFormatPr defaultRowHeight="14.4" x14ac:dyDescent="0.3"/>
  <cols>
    <col min="1" max="1" width="32.5546875" customWidth="1"/>
    <col min="2" max="2" width="62.6640625" customWidth="1"/>
    <col min="3" max="3" width="18.77734375" customWidth="1"/>
    <col min="4" max="4" width="84.88671875" customWidth="1"/>
  </cols>
  <sheetData>
    <row r="1" spans="1:4" s="39" customFormat="1" ht="18" x14ac:dyDescent="0.35">
      <c r="A1" s="74" t="s">
        <v>295</v>
      </c>
      <c r="B1" s="74"/>
      <c r="C1" s="40" t="s">
        <v>305</v>
      </c>
      <c r="D1" s="40" t="s">
        <v>296</v>
      </c>
    </row>
    <row r="2" spans="1:4" x14ac:dyDescent="0.3">
      <c r="A2" s="41" t="s">
        <v>297</v>
      </c>
      <c r="B2" s="42" t="s">
        <v>298</v>
      </c>
      <c r="C2" s="42"/>
      <c r="D2" s="43" t="s">
        <v>299</v>
      </c>
    </row>
    <row r="3" spans="1:4" x14ac:dyDescent="0.3">
      <c r="A3" s="44" t="s">
        <v>300</v>
      </c>
      <c r="B3" s="45" t="s">
        <v>306</v>
      </c>
      <c r="C3" s="46">
        <v>442500</v>
      </c>
      <c r="D3" s="45" t="s">
        <v>371</v>
      </c>
    </row>
    <row r="4" spans="1:4" x14ac:dyDescent="0.3">
      <c r="A4" s="44" t="s">
        <v>301</v>
      </c>
      <c r="B4" s="45" t="s">
        <v>307</v>
      </c>
      <c r="C4" s="46">
        <v>182000</v>
      </c>
      <c r="D4" s="45" t="s">
        <v>302</v>
      </c>
    </row>
    <row r="5" spans="1:4" x14ac:dyDescent="0.3">
      <c r="A5" s="47" t="s">
        <v>9</v>
      </c>
      <c r="B5" s="48" t="s">
        <v>303</v>
      </c>
      <c r="C5" s="49">
        <f>C3/C4</f>
        <v>2.4313186813186811</v>
      </c>
      <c r="D5" s="50" t="s">
        <v>304</v>
      </c>
    </row>
    <row r="6" spans="1:4" x14ac:dyDescent="0.3">
      <c r="A6" s="41" t="s">
        <v>308</v>
      </c>
      <c r="B6" s="42" t="s">
        <v>309</v>
      </c>
      <c r="C6" s="52"/>
      <c r="D6" s="45" t="s">
        <v>310</v>
      </c>
    </row>
    <row r="7" spans="1:4" x14ac:dyDescent="0.3">
      <c r="A7" s="44" t="s">
        <v>311</v>
      </c>
      <c r="B7" s="45" t="s">
        <v>312</v>
      </c>
      <c r="C7" s="46">
        <v>300500</v>
      </c>
      <c r="D7" s="45" t="s">
        <v>330</v>
      </c>
    </row>
    <row r="8" spans="1:4" x14ac:dyDescent="0.3">
      <c r="A8" s="44" t="s">
        <v>301</v>
      </c>
      <c r="B8" s="45" t="s">
        <v>307</v>
      </c>
      <c r="C8" s="46">
        <v>182000</v>
      </c>
      <c r="D8" s="45" t="s">
        <v>313</v>
      </c>
    </row>
    <row r="9" spans="1:4" x14ac:dyDescent="0.3">
      <c r="A9" s="47" t="s">
        <v>10</v>
      </c>
      <c r="B9" s="48" t="s">
        <v>303</v>
      </c>
      <c r="C9" s="49">
        <f>C7/C8</f>
        <v>1.651098901098901</v>
      </c>
      <c r="D9" s="50" t="s">
        <v>314</v>
      </c>
    </row>
    <row r="10" spans="1:4" x14ac:dyDescent="0.3">
      <c r="A10" s="41" t="s">
        <v>315</v>
      </c>
      <c r="B10" s="42" t="s">
        <v>316</v>
      </c>
      <c r="C10" s="52"/>
      <c r="D10" s="43" t="s">
        <v>317</v>
      </c>
    </row>
    <row r="11" spans="1:4" x14ac:dyDescent="0.3">
      <c r="A11" s="44" t="s">
        <v>318</v>
      </c>
      <c r="B11" s="45" t="s">
        <v>319</v>
      </c>
      <c r="C11" s="46">
        <v>200500</v>
      </c>
      <c r="D11" s="45" t="s">
        <v>331</v>
      </c>
    </row>
    <row r="12" spans="1:4" x14ac:dyDescent="0.3">
      <c r="A12" s="44" t="s">
        <v>272</v>
      </c>
      <c r="B12" s="45" t="s">
        <v>307</v>
      </c>
      <c r="C12" s="46">
        <v>182000</v>
      </c>
      <c r="D12" s="45" t="s">
        <v>320</v>
      </c>
    </row>
    <row r="13" spans="1:4" x14ac:dyDescent="0.3">
      <c r="A13" s="47" t="s">
        <v>16</v>
      </c>
      <c r="B13" s="48" t="s">
        <v>303</v>
      </c>
      <c r="C13" s="49">
        <f>C11/C12</f>
        <v>1.1016483516483517</v>
      </c>
      <c r="D13" s="50" t="s">
        <v>321</v>
      </c>
    </row>
    <row r="14" spans="1:4" x14ac:dyDescent="0.3">
      <c r="A14" s="53" t="s">
        <v>322</v>
      </c>
      <c r="B14" s="54" t="s">
        <v>323</v>
      </c>
      <c r="C14" s="55"/>
      <c r="D14" s="45" t="s">
        <v>324</v>
      </c>
    </row>
    <row r="15" spans="1:4" x14ac:dyDescent="0.3">
      <c r="A15" s="44" t="s">
        <v>325</v>
      </c>
      <c r="B15" s="45" t="s">
        <v>332</v>
      </c>
      <c r="C15" s="56">
        <v>325000</v>
      </c>
      <c r="D15" s="45" t="s">
        <v>334</v>
      </c>
    </row>
    <row r="16" spans="1:4" x14ac:dyDescent="0.3">
      <c r="A16" s="44" t="s">
        <v>326</v>
      </c>
      <c r="B16" s="45" t="s">
        <v>333</v>
      </c>
      <c r="C16" s="46">
        <v>325792</v>
      </c>
      <c r="D16" s="45" t="s">
        <v>327</v>
      </c>
    </row>
    <row r="17" spans="1:4" x14ac:dyDescent="0.3">
      <c r="A17" s="47" t="s">
        <v>328</v>
      </c>
      <c r="B17" s="48" t="s">
        <v>303</v>
      </c>
      <c r="C17" s="57">
        <f>C15/C16</f>
        <v>0.997569001080444</v>
      </c>
      <c r="D17" s="50" t="s">
        <v>329</v>
      </c>
    </row>
    <row r="18" spans="1:4" x14ac:dyDescent="0.3">
      <c r="A18" s="41" t="s">
        <v>335</v>
      </c>
      <c r="B18" s="42" t="s">
        <v>336</v>
      </c>
      <c r="C18" s="52"/>
      <c r="D18" s="43" t="s">
        <v>337</v>
      </c>
    </row>
    <row r="19" spans="1:4" x14ac:dyDescent="0.3">
      <c r="A19" s="44" t="s">
        <v>325</v>
      </c>
      <c r="B19" s="45" t="s">
        <v>332</v>
      </c>
      <c r="C19" s="56">
        <v>325000</v>
      </c>
      <c r="D19" s="45" t="s">
        <v>369</v>
      </c>
    </row>
    <row r="20" spans="1:4" x14ac:dyDescent="0.3">
      <c r="A20" s="44" t="s">
        <v>338</v>
      </c>
      <c r="B20" s="45" t="s">
        <v>339</v>
      </c>
      <c r="C20" s="46">
        <v>1257792</v>
      </c>
      <c r="D20" s="45" t="s">
        <v>340</v>
      </c>
    </row>
    <row r="21" spans="1:4" x14ac:dyDescent="0.3">
      <c r="A21" s="47" t="s">
        <v>341</v>
      </c>
      <c r="B21" s="48" t="s">
        <v>303</v>
      </c>
      <c r="C21" s="57">
        <f>C19/C20</f>
        <v>0.25838930443189334</v>
      </c>
      <c r="D21" s="50" t="s">
        <v>342</v>
      </c>
    </row>
    <row r="22" spans="1:4" x14ac:dyDescent="0.3">
      <c r="A22" s="53" t="s">
        <v>343</v>
      </c>
      <c r="B22" s="54" t="s">
        <v>344</v>
      </c>
      <c r="C22" s="55"/>
      <c r="D22" s="43" t="s">
        <v>345</v>
      </c>
    </row>
    <row r="23" spans="1:4" x14ac:dyDescent="0.3">
      <c r="A23" s="44" t="s">
        <v>346</v>
      </c>
      <c r="B23" s="45" t="s">
        <v>347</v>
      </c>
      <c r="C23" s="46">
        <v>428000</v>
      </c>
      <c r="D23" s="45" t="s">
        <v>367</v>
      </c>
    </row>
    <row r="24" spans="1:4" x14ac:dyDescent="0.3">
      <c r="A24" s="44" t="s">
        <v>338</v>
      </c>
      <c r="B24" s="45" t="s">
        <v>339</v>
      </c>
      <c r="C24" s="46">
        <v>1257792</v>
      </c>
      <c r="D24" s="45" t="s">
        <v>348</v>
      </c>
    </row>
    <row r="25" spans="1:4" x14ac:dyDescent="0.3">
      <c r="A25" s="47" t="s">
        <v>349</v>
      </c>
      <c r="B25" s="48" t="s">
        <v>303</v>
      </c>
      <c r="C25" s="57">
        <f>C23/C24</f>
        <v>0.34027883783646262</v>
      </c>
      <c r="D25" s="50" t="s">
        <v>350</v>
      </c>
    </row>
    <row r="26" spans="1:4" x14ac:dyDescent="0.3">
      <c r="A26" s="53" t="s">
        <v>351</v>
      </c>
      <c r="B26" s="54" t="s">
        <v>352</v>
      </c>
      <c r="C26" s="55"/>
      <c r="D26" s="43" t="s">
        <v>353</v>
      </c>
    </row>
    <row r="27" spans="1:4" x14ac:dyDescent="0.3">
      <c r="A27" s="44" t="s">
        <v>354</v>
      </c>
      <c r="B27" s="45" t="s">
        <v>355</v>
      </c>
      <c r="C27" s="46">
        <v>309000</v>
      </c>
      <c r="D27" s="45" t="s">
        <v>370</v>
      </c>
    </row>
    <row r="28" spans="1:4" x14ac:dyDescent="0.3">
      <c r="A28" s="44" t="s">
        <v>356</v>
      </c>
      <c r="B28" s="45" t="s">
        <v>357</v>
      </c>
      <c r="C28" s="46">
        <v>190000</v>
      </c>
      <c r="D28" s="45" t="s">
        <v>358</v>
      </c>
    </row>
    <row r="29" spans="1:4" x14ac:dyDescent="0.3">
      <c r="A29" s="47" t="s">
        <v>14</v>
      </c>
      <c r="B29" s="48" t="s">
        <v>303</v>
      </c>
      <c r="C29" s="57">
        <f>C27/C28</f>
        <v>1.6263157894736842</v>
      </c>
      <c r="D29" s="58" t="s">
        <v>359</v>
      </c>
    </row>
    <row r="30" spans="1:4" x14ac:dyDescent="0.3">
      <c r="A30" s="53" t="s">
        <v>360</v>
      </c>
      <c r="B30" s="54" t="s">
        <v>361</v>
      </c>
      <c r="C30" s="55"/>
      <c r="D30" s="45" t="s">
        <v>362</v>
      </c>
    </row>
    <row r="31" spans="1:4" x14ac:dyDescent="0.3">
      <c r="A31" s="44" t="s">
        <v>346</v>
      </c>
      <c r="B31" s="45" t="s">
        <v>347</v>
      </c>
      <c r="C31" s="46">
        <v>428000</v>
      </c>
      <c r="D31" s="45" t="s">
        <v>368</v>
      </c>
    </row>
    <row r="32" spans="1:4" x14ac:dyDescent="0.3">
      <c r="A32" s="44" t="s">
        <v>363</v>
      </c>
      <c r="B32" s="45" t="s">
        <v>364</v>
      </c>
      <c r="C32" s="46">
        <f>C3-C4</f>
        <v>260500</v>
      </c>
      <c r="D32" s="45" t="s">
        <v>365</v>
      </c>
    </row>
    <row r="33" spans="1:4" x14ac:dyDescent="0.3">
      <c r="A33" s="47" t="s">
        <v>15</v>
      </c>
      <c r="B33" s="48" t="s">
        <v>303</v>
      </c>
      <c r="C33" s="57">
        <f>C31/C32</f>
        <v>1.6429942418426104</v>
      </c>
      <c r="D33" s="50" t="s">
        <v>366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Transactions </vt:lpstr>
      <vt:lpstr>Journal</vt:lpstr>
      <vt:lpstr>Ledger</vt:lpstr>
      <vt:lpstr>Trial Balance </vt:lpstr>
      <vt:lpstr>Trading account</vt:lpstr>
      <vt:lpstr>Profit and Loss Account</vt:lpstr>
      <vt:lpstr>Balance Sheet</vt:lpstr>
      <vt:lpstr>Ratio Analysis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R</dc:creator>
  <cp:lastModifiedBy>Aakash R</cp:lastModifiedBy>
  <dcterms:created xsi:type="dcterms:W3CDTF">2026-09-22T03:28:04Z</dcterms:created>
  <dcterms:modified xsi:type="dcterms:W3CDTF">2026-09-28T03:36:19Z</dcterms:modified>
</cp:coreProperties>
</file>